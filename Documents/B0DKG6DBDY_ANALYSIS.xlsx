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wrahu/Documents/"/>
    </mc:Choice>
  </mc:AlternateContent>
  <xr:revisionPtr revIDLastSave="0" documentId="13_ncr:1_{AEB34297-051B-7742-89B3-41FEE8581A0F}" xr6:coauthVersionLast="47" xr6:coauthVersionMax="47" xr10:uidLastSave="{00000000-0000-0000-0000-000000000000}"/>
  <bookViews>
    <workbookView xWindow="0" yWindow="760" windowWidth="30240" windowHeight="17180" activeTab="9" xr2:uid="{7EF58D24-1725-2E48-8937-639DF274A20C}"/>
  </bookViews>
  <sheets>
    <sheet name="impression" sheetId="3" r:id="rId1"/>
    <sheet name="clicks" sheetId="4" r:id="rId2"/>
    <sheet name="purchase" sheetId="5" r:id="rId3"/>
    <sheet name="org-position" sheetId="6" r:id="rId4"/>
    <sheet name="B0DKG6DBDY" sheetId="1" r:id="rId5"/>
    <sheet name="Sheet9" sheetId="10" r:id="rId6"/>
    <sheet name="Sheet1" sheetId="12" r:id="rId7"/>
    <sheet name="Sheet10" sheetId="11" r:id="rId8"/>
    <sheet name="Sheet8" sheetId="9" r:id="rId9"/>
    <sheet name="Sheet7" sheetId="8" r:id="rId10"/>
  </sheets>
  <definedNames>
    <definedName name="_xlnm._FilterDatabase" localSheetId="4" hidden="1">B0DKG6DBDY!$A$1:$I$604</definedName>
    <definedName name="_xlnm._FilterDatabase" localSheetId="7" hidden="1">Sheet10!$A$1:$A$599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0" l="1" a="1"/>
  <c r="M2" i="10" s="1"/>
  <c r="L180" i="8"/>
  <c r="I599" i="12"/>
  <c r="H599" i="12"/>
  <c r="H598" i="12"/>
  <c r="I598" i="12" s="1"/>
  <c r="H597" i="12"/>
  <c r="I597" i="12" s="1"/>
  <c r="H596" i="12"/>
  <c r="I596" i="12" s="1"/>
  <c r="I595" i="12"/>
  <c r="H595" i="12"/>
  <c r="I594" i="12"/>
  <c r="H594" i="12"/>
  <c r="H593" i="12"/>
  <c r="I593" i="12" s="1"/>
  <c r="H592" i="12"/>
  <c r="I592" i="12" s="1"/>
  <c r="H591" i="12"/>
  <c r="I591" i="12" s="1"/>
  <c r="I590" i="12"/>
  <c r="H590" i="12"/>
  <c r="I589" i="12"/>
  <c r="H589" i="12"/>
  <c r="H588" i="12"/>
  <c r="I588" i="12" s="1"/>
  <c r="I587" i="12"/>
  <c r="H587" i="12"/>
  <c r="H586" i="12"/>
  <c r="I586" i="12" s="1"/>
  <c r="I585" i="12"/>
  <c r="H585" i="12"/>
  <c r="I584" i="12"/>
  <c r="H584" i="12"/>
  <c r="H583" i="12"/>
  <c r="I583" i="12" s="1"/>
  <c r="I582" i="12"/>
  <c r="H582" i="12"/>
  <c r="H581" i="12"/>
  <c r="I581" i="12" s="1"/>
  <c r="I580" i="12"/>
  <c r="H580" i="12"/>
  <c r="I579" i="12"/>
  <c r="H579" i="12"/>
  <c r="H578" i="12"/>
  <c r="I578" i="12" s="1"/>
  <c r="H577" i="12"/>
  <c r="I577" i="12" s="1"/>
  <c r="I576" i="12"/>
  <c r="H576" i="12"/>
  <c r="I575" i="12"/>
  <c r="H575" i="12"/>
  <c r="I574" i="12"/>
  <c r="H574" i="12"/>
  <c r="H573" i="12"/>
  <c r="I573" i="12" s="1"/>
  <c r="I572" i="12"/>
  <c r="H572" i="12"/>
  <c r="I571" i="12"/>
  <c r="H571" i="12"/>
  <c r="I570" i="12"/>
  <c r="H570" i="12"/>
  <c r="I569" i="12"/>
  <c r="H569" i="12"/>
  <c r="H568" i="12"/>
  <c r="I568" i="12" s="1"/>
  <c r="H567" i="12"/>
  <c r="I567" i="12" s="1"/>
  <c r="H566" i="12"/>
  <c r="I566" i="12" s="1"/>
  <c r="I565" i="12"/>
  <c r="H565" i="12"/>
  <c r="I564" i="12"/>
  <c r="H564" i="12"/>
  <c r="H563" i="12"/>
  <c r="I563" i="12" s="1"/>
  <c r="H562" i="12"/>
  <c r="I562" i="12" s="1"/>
  <c r="I561" i="12"/>
  <c r="H561" i="12"/>
  <c r="I560" i="12"/>
  <c r="H560" i="12"/>
  <c r="I559" i="12"/>
  <c r="H559" i="12"/>
  <c r="H558" i="12"/>
  <c r="I558" i="12" s="1"/>
  <c r="H557" i="12"/>
  <c r="I557" i="12" s="1"/>
  <c r="H556" i="12"/>
  <c r="I556" i="12" s="1"/>
  <c r="I555" i="12"/>
  <c r="H555" i="12"/>
  <c r="I554" i="12"/>
  <c r="H554" i="12"/>
  <c r="H553" i="12"/>
  <c r="I553" i="12" s="1"/>
  <c r="H552" i="12"/>
  <c r="I552" i="12" s="1"/>
  <c r="H551" i="12"/>
  <c r="I551" i="12" s="1"/>
  <c r="I550" i="12"/>
  <c r="H550" i="12"/>
  <c r="I549" i="12"/>
  <c r="H549" i="12"/>
  <c r="H548" i="12"/>
  <c r="I548" i="12" s="1"/>
  <c r="H547" i="12"/>
  <c r="I547" i="12" s="1"/>
  <c r="H546" i="12"/>
  <c r="I546" i="12" s="1"/>
  <c r="I545" i="12"/>
  <c r="H545" i="12"/>
  <c r="I544" i="12"/>
  <c r="H544" i="12"/>
  <c r="H543" i="12"/>
  <c r="I543" i="12" s="1"/>
  <c r="H542" i="12"/>
  <c r="I542" i="12" s="1"/>
  <c r="H541" i="12"/>
  <c r="I541" i="12" s="1"/>
  <c r="I540" i="12"/>
  <c r="H540" i="12"/>
  <c r="I539" i="12"/>
  <c r="H539" i="12"/>
  <c r="H538" i="12"/>
  <c r="I538" i="12" s="1"/>
  <c r="I537" i="12"/>
  <c r="H537" i="12"/>
  <c r="H536" i="12"/>
  <c r="I536" i="12" s="1"/>
  <c r="I535" i="12"/>
  <c r="H535" i="12"/>
  <c r="I534" i="12"/>
  <c r="H534" i="12"/>
  <c r="H533" i="12"/>
  <c r="I533" i="12" s="1"/>
  <c r="I532" i="12"/>
  <c r="H532" i="12"/>
  <c r="H531" i="12"/>
  <c r="I531" i="12" s="1"/>
  <c r="I530" i="12"/>
  <c r="H530" i="12"/>
  <c r="I529" i="12"/>
  <c r="H529" i="12"/>
  <c r="H528" i="12"/>
  <c r="I528" i="12" s="1"/>
  <c r="H527" i="12"/>
  <c r="I527" i="12" s="1"/>
  <c r="I526" i="12"/>
  <c r="H526" i="12"/>
  <c r="I525" i="12"/>
  <c r="H525" i="12"/>
  <c r="I524" i="12"/>
  <c r="H524" i="12"/>
  <c r="H523" i="12"/>
  <c r="I523" i="12" s="1"/>
  <c r="I522" i="12"/>
  <c r="H522" i="12"/>
  <c r="I521" i="12"/>
  <c r="H521" i="12"/>
  <c r="I520" i="12"/>
  <c r="H520" i="12"/>
  <c r="I519" i="12"/>
  <c r="H519" i="12"/>
  <c r="H518" i="12"/>
  <c r="I518" i="12" s="1"/>
  <c r="H517" i="12"/>
  <c r="I517" i="12" s="1"/>
  <c r="H516" i="12"/>
  <c r="I516" i="12" s="1"/>
  <c r="I515" i="12"/>
  <c r="H515" i="12"/>
  <c r="I514" i="12"/>
  <c r="H514" i="12"/>
  <c r="H513" i="12"/>
  <c r="I513" i="12" s="1"/>
  <c r="H512" i="12"/>
  <c r="I512" i="12" s="1"/>
  <c r="I511" i="12"/>
  <c r="H511" i="12"/>
  <c r="I510" i="12"/>
  <c r="H510" i="12"/>
  <c r="I509" i="12"/>
  <c r="H509" i="12"/>
  <c r="H508" i="12"/>
  <c r="I508" i="12" s="1"/>
  <c r="H507" i="12"/>
  <c r="I507" i="12" s="1"/>
  <c r="H506" i="12"/>
  <c r="I506" i="12" s="1"/>
  <c r="I505" i="12"/>
  <c r="H505" i="12"/>
  <c r="I504" i="12"/>
  <c r="H504" i="12"/>
  <c r="H503" i="12"/>
  <c r="I503" i="12" s="1"/>
  <c r="H502" i="12"/>
  <c r="I502" i="12" s="1"/>
  <c r="H501" i="12"/>
  <c r="I501" i="12" s="1"/>
  <c r="I500" i="12"/>
  <c r="H500" i="12"/>
  <c r="I499" i="12"/>
  <c r="H499" i="12"/>
  <c r="H498" i="12"/>
  <c r="I498" i="12" s="1"/>
  <c r="H497" i="12"/>
  <c r="I497" i="12" s="1"/>
  <c r="H496" i="12"/>
  <c r="I496" i="12" s="1"/>
  <c r="I495" i="12"/>
  <c r="H495" i="12"/>
  <c r="I494" i="12"/>
  <c r="H494" i="12"/>
  <c r="H493" i="12"/>
  <c r="I493" i="12" s="1"/>
  <c r="H492" i="12"/>
  <c r="I492" i="12" s="1"/>
  <c r="H491" i="12"/>
  <c r="I491" i="12" s="1"/>
  <c r="I490" i="12"/>
  <c r="H490" i="12"/>
  <c r="I489" i="12"/>
  <c r="H489" i="12"/>
  <c r="H488" i="12"/>
  <c r="I488" i="12" s="1"/>
  <c r="I487" i="12"/>
  <c r="H487" i="12"/>
  <c r="H486" i="12"/>
  <c r="I486" i="12" s="1"/>
  <c r="I485" i="12"/>
  <c r="H485" i="12"/>
  <c r="I484" i="12"/>
  <c r="H484" i="12"/>
  <c r="H483" i="12"/>
  <c r="I483" i="12" s="1"/>
  <c r="I482" i="12"/>
  <c r="H482" i="12"/>
  <c r="H481" i="12"/>
  <c r="I481" i="12" s="1"/>
  <c r="I480" i="12"/>
  <c r="H480" i="12"/>
  <c r="I479" i="12"/>
  <c r="H479" i="12"/>
  <c r="H478" i="12"/>
  <c r="I478" i="12" s="1"/>
  <c r="H477" i="12"/>
  <c r="I477" i="12" s="1"/>
  <c r="I476" i="12"/>
  <c r="H476" i="12"/>
  <c r="I475" i="12"/>
  <c r="H475" i="12"/>
  <c r="I474" i="12"/>
  <c r="H474" i="12"/>
  <c r="H473" i="12"/>
  <c r="I473" i="12" s="1"/>
  <c r="I472" i="12"/>
  <c r="H472" i="12"/>
  <c r="I471" i="12"/>
  <c r="H471" i="12"/>
  <c r="I470" i="12"/>
  <c r="H470" i="12"/>
  <c r="I469" i="12"/>
  <c r="H469" i="12"/>
  <c r="H468" i="12"/>
  <c r="I468" i="12" s="1"/>
  <c r="H467" i="12"/>
  <c r="I467" i="12" s="1"/>
  <c r="H466" i="12"/>
  <c r="I466" i="12" s="1"/>
  <c r="I465" i="12"/>
  <c r="H465" i="12"/>
  <c r="H464" i="12"/>
  <c r="I464" i="12" s="1"/>
  <c r="H463" i="12"/>
  <c r="I463" i="12" s="1"/>
  <c r="H462" i="12"/>
  <c r="I462" i="12" s="1"/>
  <c r="I461" i="12"/>
  <c r="H461" i="12"/>
  <c r="I460" i="12"/>
  <c r="H460" i="12"/>
  <c r="H459" i="12"/>
  <c r="I459" i="12" s="1"/>
  <c r="H458" i="12"/>
  <c r="I458" i="12" s="1"/>
  <c r="H457" i="12"/>
  <c r="I457" i="12" s="1"/>
  <c r="H456" i="12"/>
  <c r="I456" i="12" s="1"/>
  <c r="H455" i="12"/>
  <c r="I455" i="12" s="1"/>
  <c r="I454" i="12"/>
  <c r="H454" i="12"/>
  <c r="H453" i="12"/>
  <c r="I453" i="12" s="1"/>
  <c r="I452" i="12"/>
  <c r="H452" i="12"/>
  <c r="H451" i="12"/>
  <c r="I451" i="12" s="1"/>
  <c r="I450" i="12"/>
  <c r="H450" i="12"/>
  <c r="I449" i="12"/>
  <c r="H449" i="12"/>
  <c r="H448" i="12"/>
  <c r="I448" i="12" s="1"/>
  <c r="H447" i="12"/>
  <c r="I447" i="12" s="1"/>
  <c r="H446" i="12"/>
  <c r="I446" i="12" s="1"/>
  <c r="H445" i="12"/>
  <c r="I445" i="12" s="1"/>
  <c r="H444" i="12"/>
  <c r="I444" i="12" s="1"/>
  <c r="H443" i="12"/>
  <c r="I443" i="12" s="1"/>
  <c r="H442" i="12"/>
  <c r="I442" i="12" s="1"/>
  <c r="I441" i="12"/>
  <c r="H441" i="12"/>
  <c r="H440" i="12"/>
  <c r="I440" i="12" s="1"/>
  <c r="I439" i="12"/>
  <c r="H439" i="12"/>
  <c r="H438" i="12"/>
  <c r="I438" i="12" s="1"/>
  <c r="I437" i="12"/>
  <c r="H437" i="12"/>
  <c r="H436" i="12"/>
  <c r="I436" i="12" s="1"/>
  <c r="H435" i="12"/>
  <c r="I435" i="12" s="1"/>
  <c r="H434" i="12"/>
  <c r="I434" i="12" s="1"/>
  <c r="H433" i="12"/>
  <c r="I433" i="12" s="1"/>
  <c r="I432" i="12"/>
  <c r="H432" i="12"/>
  <c r="H431" i="12"/>
  <c r="I431" i="12" s="1"/>
  <c r="I430" i="12"/>
  <c r="H430" i="12"/>
  <c r="H429" i="12"/>
  <c r="I429" i="12" s="1"/>
  <c r="H428" i="12"/>
  <c r="I428" i="12" s="1"/>
  <c r="H427" i="12"/>
  <c r="I427" i="12" s="1"/>
  <c r="I426" i="12"/>
  <c r="H426" i="12"/>
  <c r="H425" i="12"/>
  <c r="I425" i="12" s="1"/>
  <c r="H424" i="12"/>
  <c r="I424" i="12" s="1"/>
  <c r="H423" i="12"/>
  <c r="I423" i="12" s="1"/>
  <c r="I422" i="12"/>
  <c r="H422" i="12"/>
  <c r="I421" i="12"/>
  <c r="H421" i="12"/>
  <c r="H420" i="12"/>
  <c r="I420" i="12" s="1"/>
  <c r="I419" i="12"/>
  <c r="H419" i="12"/>
  <c r="H418" i="12"/>
  <c r="I418" i="12" s="1"/>
  <c r="H417" i="12"/>
  <c r="I417" i="12" s="1"/>
  <c r="H416" i="12"/>
  <c r="I416" i="12" s="1"/>
  <c r="I415" i="12"/>
  <c r="H415" i="12"/>
  <c r="H414" i="12"/>
  <c r="I414" i="12" s="1"/>
  <c r="H413" i="12"/>
  <c r="I413" i="12" s="1"/>
  <c r="H412" i="12"/>
  <c r="I412" i="12" s="1"/>
  <c r="I411" i="12"/>
  <c r="H411" i="12"/>
  <c r="I410" i="12"/>
  <c r="H410" i="12"/>
  <c r="H409" i="12"/>
  <c r="I409" i="12" s="1"/>
  <c r="H408" i="12"/>
  <c r="I408" i="12" s="1"/>
  <c r="H407" i="12"/>
  <c r="I407" i="12" s="1"/>
  <c r="H406" i="12"/>
  <c r="I406" i="12" s="1"/>
  <c r="H405" i="12"/>
  <c r="I405" i="12" s="1"/>
  <c r="I404" i="12"/>
  <c r="H404" i="12"/>
  <c r="H403" i="12"/>
  <c r="I403" i="12" s="1"/>
  <c r="I402" i="12"/>
  <c r="H402" i="12"/>
  <c r="H401" i="12"/>
  <c r="I401" i="12" s="1"/>
  <c r="I400" i="12"/>
  <c r="H400" i="12"/>
  <c r="I399" i="12"/>
  <c r="H399" i="12"/>
  <c r="H398" i="12"/>
  <c r="I398" i="12" s="1"/>
  <c r="H397" i="12"/>
  <c r="I397" i="12" s="1"/>
  <c r="H396" i="12"/>
  <c r="I396" i="12" s="1"/>
  <c r="H395" i="12"/>
  <c r="I395" i="12" s="1"/>
  <c r="H394" i="12"/>
  <c r="I394" i="12" s="1"/>
  <c r="H393" i="12"/>
  <c r="I393" i="12" s="1"/>
  <c r="H392" i="12"/>
  <c r="I392" i="12" s="1"/>
  <c r="I391" i="12"/>
  <c r="H391" i="12"/>
  <c r="H390" i="12"/>
  <c r="I390" i="12" s="1"/>
  <c r="I389" i="12"/>
  <c r="H389" i="12"/>
  <c r="H388" i="12"/>
  <c r="I388" i="12" s="1"/>
  <c r="I387" i="12"/>
  <c r="H387" i="12"/>
  <c r="H386" i="12"/>
  <c r="I386" i="12" s="1"/>
  <c r="H385" i="12"/>
  <c r="I385" i="12" s="1"/>
  <c r="H384" i="12"/>
  <c r="I384" i="12" s="1"/>
  <c r="H383" i="12"/>
  <c r="I383" i="12" s="1"/>
  <c r="I382" i="12"/>
  <c r="H382" i="12"/>
  <c r="H381" i="12"/>
  <c r="I381" i="12" s="1"/>
  <c r="I380" i="12"/>
  <c r="H380" i="12"/>
  <c r="H379" i="12"/>
  <c r="I379" i="12" s="1"/>
  <c r="H378" i="12"/>
  <c r="I378" i="12" s="1"/>
  <c r="H377" i="12"/>
  <c r="I377" i="12" s="1"/>
  <c r="I376" i="12"/>
  <c r="H376" i="12"/>
  <c r="H375" i="12"/>
  <c r="I375" i="12" s="1"/>
  <c r="H374" i="12"/>
  <c r="I374" i="12" s="1"/>
  <c r="H373" i="12"/>
  <c r="I373" i="12" s="1"/>
  <c r="I372" i="12"/>
  <c r="H372" i="12"/>
  <c r="I371" i="12"/>
  <c r="H371" i="12"/>
  <c r="H370" i="12"/>
  <c r="I370" i="12" s="1"/>
  <c r="I369" i="12"/>
  <c r="H369" i="12"/>
  <c r="H368" i="12"/>
  <c r="I368" i="12" s="1"/>
  <c r="H367" i="12"/>
  <c r="I367" i="12" s="1"/>
  <c r="H366" i="12"/>
  <c r="I366" i="12" s="1"/>
  <c r="I365" i="12"/>
  <c r="H365" i="12"/>
  <c r="H364" i="12"/>
  <c r="I364" i="12" s="1"/>
  <c r="H363" i="12"/>
  <c r="I363" i="12" s="1"/>
  <c r="H362" i="12"/>
  <c r="I362" i="12" s="1"/>
  <c r="I361" i="12"/>
  <c r="H361" i="12"/>
  <c r="I360" i="12"/>
  <c r="H360" i="12"/>
  <c r="H359" i="12"/>
  <c r="I359" i="12" s="1"/>
  <c r="H358" i="12"/>
  <c r="I358" i="12" s="1"/>
  <c r="H357" i="12"/>
  <c r="I357" i="12" s="1"/>
  <c r="H356" i="12"/>
  <c r="I356" i="12" s="1"/>
  <c r="H355" i="12"/>
  <c r="I355" i="12" s="1"/>
  <c r="I354" i="12"/>
  <c r="H354" i="12"/>
  <c r="H353" i="12"/>
  <c r="I353" i="12" s="1"/>
  <c r="I352" i="12"/>
  <c r="H352" i="12"/>
  <c r="H351" i="12"/>
  <c r="I351" i="12" s="1"/>
  <c r="I350" i="12"/>
  <c r="H350" i="12"/>
  <c r="I349" i="12"/>
  <c r="H349" i="12"/>
  <c r="H348" i="12"/>
  <c r="I348" i="12" s="1"/>
  <c r="H347" i="12"/>
  <c r="I347" i="12" s="1"/>
  <c r="H346" i="12"/>
  <c r="I346" i="12" s="1"/>
  <c r="H345" i="12"/>
  <c r="I345" i="12" s="1"/>
  <c r="H344" i="12"/>
  <c r="I344" i="12" s="1"/>
  <c r="H343" i="12"/>
  <c r="I343" i="12" s="1"/>
  <c r="H342" i="12"/>
  <c r="I342" i="12" s="1"/>
  <c r="I341" i="12"/>
  <c r="H341" i="12"/>
  <c r="H340" i="12"/>
  <c r="I340" i="12" s="1"/>
  <c r="I339" i="12"/>
  <c r="H339" i="12"/>
  <c r="H338" i="12"/>
  <c r="I338" i="12" s="1"/>
  <c r="I337" i="12"/>
  <c r="H337" i="12"/>
  <c r="H336" i="12"/>
  <c r="I336" i="12" s="1"/>
  <c r="H335" i="12"/>
  <c r="I335" i="12" s="1"/>
  <c r="H334" i="12"/>
  <c r="I334" i="12" s="1"/>
  <c r="H333" i="12"/>
  <c r="I333" i="12" s="1"/>
  <c r="I332" i="12"/>
  <c r="H332" i="12"/>
  <c r="H331" i="12"/>
  <c r="I331" i="12" s="1"/>
  <c r="I330" i="12"/>
  <c r="H330" i="12"/>
  <c r="H329" i="12"/>
  <c r="I329" i="12" s="1"/>
  <c r="H328" i="12"/>
  <c r="I328" i="12" s="1"/>
  <c r="H327" i="12"/>
  <c r="I327" i="12" s="1"/>
  <c r="I326" i="12"/>
  <c r="H326" i="12"/>
  <c r="H325" i="12"/>
  <c r="I325" i="12" s="1"/>
  <c r="H324" i="12"/>
  <c r="I324" i="12" s="1"/>
  <c r="H323" i="12"/>
  <c r="I323" i="12" s="1"/>
  <c r="I322" i="12"/>
  <c r="H322" i="12"/>
  <c r="I321" i="12"/>
  <c r="H321" i="12"/>
  <c r="H320" i="12"/>
  <c r="I320" i="12" s="1"/>
  <c r="I319" i="12"/>
  <c r="H319" i="12"/>
  <c r="H318" i="12"/>
  <c r="I318" i="12" s="1"/>
  <c r="H317" i="12"/>
  <c r="I317" i="12" s="1"/>
  <c r="H316" i="12"/>
  <c r="I316" i="12" s="1"/>
  <c r="I315" i="12"/>
  <c r="H315" i="12"/>
  <c r="H314" i="12"/>
  <c r="I314" i="12" s="1"/>
  <c r="H313" i="12"/>
  <c r="I313" i="12" s="1"/>
  <c r="H312" i="12"/>
  <c r="I312" i="12" s="1"/>
  <c r="I311" i="12"/>
  <c r="H311" i="12"/>
  <c r="I310" i="12"/>
  <c r="H310" i="12"/>
  <c r="H309" i="12"/>
  <c r="I309" i="12" s="1"/>
  <c r="H308" i="12"/>
  <c r="I308" i="12" s="1"/>
  <c r="H307" i="12"/>
  <c r="I307" i="12" s="1"/>
  <c r="H306" i="12"/>
  <c r="I306" i="12" s="1"/>
  <c r="H305" i="12"/>
  <c r="I305" i="12" s="1"/>
  <c r="I304" i="12"/>
  <c r="H304" i="12"/>
  <c r="H303" i="12"/>
  <c r="I303" i="12" s="1"/>
  <c r="I302" i="12"/>
  <c r="H302" i="12"/>
  <c r="H301" i="12"/>
  <c r="I301" i="12" s="1"/>
  <c r="I300" i="12"/>
  <c r="H300" i="12"/>
  <c r="I299" i="12"/>
  <c r="H299" i="12"/>
  <c r="H298" i="12"/>
  <c r="I298" i="12" s="1"/>
  <c r="H297" i="12"/>
  <c r="I297" i="12" s="1"/>
  <c r="H296" i="12"/>
  <c r="I296" i="12" s="1"/>
  <c r="H295" i="12"/>
  <c r="I295" i="12" s="1"/>
  <c r="H294" i="12"/>
  <c r="I294" i="12" s="1"/>
  <c r="H293" i="12"/>
  <c r="I293" i="12" s="1"/>
  <c r="H292" i="12"/>
  <c r="I292" i="12" s="1"/>
  <c r="I291" i="12"/>
  <c r="H291" i="12"/>
  <c r="H290" i="12"/>
  <c r="I290" i="12" s="1"/>
  <c r="I289" i="12"/>
  <c r="H289" i="12"/>
  <c r="H288" i="12"/>
  <c r="I288" i="12" s="1"/>
  <c r="I287" i="12"/>
  <c r="H287" i="12"/>
  <c r="H286" i="12"/>
  <c r="I286" i="12" s="1"/>
  <c r="H285" i="12"/>
  <c r="I285" i="12" s="1"/>
  <c r="H284" i="12"/>
  <c r="I284" i="12" s="1"/>
  <c r="H283" i="12"/>
  <c r="I283" i="12" s="1"/>
  <c r="I282" i="12"/>
  <c r="H282" i="12"/>
  <c r="H281" i="12"/>
  <c r="I281" i="12" s="1"/>
  <c r="I280" i="12"/>
  <c r="H280" i="12"/>
  <c r="H279" i="12"/>
  <c r="I279" i="12" s="1"/>
  <c r="H278" i="12"/>
  <c r="I278" i="12" s="1"/>
  <c r="H277" i="12"/>
  <c r="I277" i="12" s="1"/>
  <c r="I276" i="12"/>
  <c r="H276" i="12"/>
  <c r="H275" i="12"/>
  <c r="I275" i="12" s="1"/>
  <c r="H274" i="12"/>
  <c r="I274" i="12" s="1"/>
  <c r="H273" i="12"/>
  <c r="I273" i="12" s="1"/>
  <c r="I272" i="12"/>
  <c r="H272" i="12"/>
  <c r="I271" i="12"/>
  <c r="H271" i="12"/>
  <c r="H270" i="12"/>
  <c r="I270" i="12" s="1"/>
  <c r="I269" i="12"/>
  <c r="H269" i="12"/>
  <c r="H268" i="12"/>
  <c r="I268" i="12" s="1"/>
  <c r="H267" i="12"/>
  <c r="I267" i="12" s="1"/>
  <c r="H266" i="12"/>
  <c r="I266" i="12" s="1"/>
  <c r="I265" i="12"/>
  <c r="H265" i="12"/>
  <c r="H264" i="12"/>
  <c r="I264" i="12" s="1"/>
  <c r="H263" i="12"/>
  <c r="I263" i="12" s="1"/>
  <c r="H262" i="12"/>
  <c r="I262" i="12" s="1"/>
  <c r="I261" i="12"/>
  <c r="H261" i="12"/>
  <c r="I260" i="12"/>
  <c r="H260" i="12"/>
  <c r="H259" i="12"/>
  <c r="I259" i="12" s="1"/>
  <c r="H258" i="12"/>
  <c r="I258" i="12" s="1"/>
  <c r="H257" i="12"/>
  <c r="I257" i="12" s="1"/>
  <c r="H256" i="12"/>
  <c r="I256" i="12" s="1"/>
  <c r="H255" i="12"/>
  <c r="I255" i="12" s="1"/>
  <c r="I254" i="12"/>
  <c r="H254" i="12"/>
  <c r="H253" i="12"/>
  <c r="I253" i="12" s="1"/>
  <c r="I252" i="12"/>
  <c r="H252" i="12"/>
  <c r="H251" i="12"/>
  <c r="I251" i="12" s="1"/>
  <c r="I250" i="12"/>
  <c r="H250" i="12"/>
  <c r="I249" i="12"/>
  <c r="H249" i="12"/>
  <c r="H248" i="12"/>
  <c r="I248" i="12" s="1"/>
  <c r="H247" i="12"/>
  <c r="I247" i="12" s="1"/>
  <c r="H246" i="12"/>
  <c r="I246" i="12" s="1"/>
  <c r="H245" i="12"/>
  <c r="I245" i="12" s="1"/>
  <c r="H244" i="12"/>
  <c r="I244" i="12" s="1"/>
  <c r="H243" i="12"/>
  <c r="I243" i="12" s="1"/>
  <c r="H242" i="12"/>
  <c r="I242" i="12" s="1"/>
  <c r="I241" i="12"/>
  <c r="H241" i="12"/>
  <c r="H240" i="12"/>
  <c r="I240" i="12" s="1"/>
  <c r="I239" i="12"/>
  <c r="H239" i="12"/>
  <c r="H238" i="12"/>
  <c r="I238" i="12" s="1"/>
  <c r="I237" i="12"/>
  <c r="H237" i="12"/>
  <c r="H236" i="12"/>
  <c r="I236" i="12" s="1"/>
  <c r="H235" i="12"/>
  <c r="I235" i="12" s="1"/>
  <c r="H234" i="12"/>
  <c r="I234" i="12" s="1"/>
  <c r="H233" i="12"/>
  <c r="I233" i="12" s="1"/>
  <c r="I232" i="12"/>
  <c r="H232" i="12"/>
  <c r="H231" i="12"/>
  <c r="I231" i="12" s="1"/>
  <c r="I230" i="12"/>
  <c r="H230" i="12"/>
  <c r="H229" i="12"/>
  <c r="I229" i="12" s="1"/>
  <c r="H228" i="12"/>
  <c r="I228" i="12" s="1"/>
  <c r="H227" i="12"/>
  <c r="I227" i="12" s="1"/>
  <c r="I226" i="12"/>
  <c r="H226" i="12"/>
  <c r="H225" i="12"/>
  <c r="I225" i="12" s="1"/>
  <c r="H224" i="12"/>
  <c r="I224" i="12" s="1"/>
  <c r="H223" i="12"/>
  <c r="I223" i="12" s="1"/>
  <c r="I222" i="12"/>
  <c r="H222" i="12"/>
  <c r="I221" i="12"/>
  <c r="H221" i="12"/>
  <c r="H220" i="12"/>
  <c r="I220" i="12" s="1"/>
  <c r="I219" i="12"/>
  <c r="H219" i="12"/>
  <c r="H218" i="12"/>
  <c r="I218" i="12" s="1"/>
  <c r="H217" i="12"/>
  <c r="I217" i="12" s="1"/>
  <c r="H216" i="12"/>
  <c r="I216" i="12" s="1"/>
  <c r="I215" i="12"/>
  <c r="H215" i="12"/>
  <c r="H214" i="12"/>
  <c r="I214" i="12" s="1"/>
  <c r="H213" i="12"/>
  <c r="I213" i="12" s="1"/>
  <c r="H212" i="12"/>
  <c r="I212" i="12" s="1"/>
  <c r="I211" i="12"/>
  <c r="H211" i="12"/>
  <c r="I210" i="12"/>
  <c r="H210" i="12"/>
  <c r="H209" i="12"/>
  <c r="I209" i="12" s="1"/>
  <c r="H208" i="12"/>
  <c r="I208" i="12" s="1"/>
  <c r="H207" i="12"/>
  <c r="I207" i="12" s="1"/>
  <c r="H206" i="12"/>
  <c r="I206" i="12" s="1"/>
  <c r="H205" i="12"/>
  <c r="I205" i="12" s="1"/>
  <c r="I204" i="12"/>
  <c r="H204" i="12"/>
  <c r="H203" i="12"/>
  <c r="I203" i="12" s="1"/>
  <c r="I202" i="12"/>
  <c r="H202" i="12"/>
  <c r="H201" i="12"/>
  <c r="I201" i="12" s="1"/>
  <c r="I200" i="12"/>
  <c r="H200" i="12"/>
  <c r="I199" i="12"/>
  <c r="H199" i="12"/>
  <c r="H198" i="12"/>
  <c r="I198" i="12" s="1"/>
  <c r="H197" i="12"/>
  <c r="I197" i="12" s="1"/>
  <c r="H196" i="12"/>
  <c r="I196" i="12" s="1"/>
  <c r="H195" i="12"/>
  <c r="I195" i="12" s="1"/>
  <c r="H194" i="12"/>
  <c r="I194" i="12" s="1"/>
  <c r="H193" i="12"/>
  <c r="I193" i="12" s="1"/>
  <c r="H192" i="12"/>
  <c r="I192" i="12" s="1"/>
  <c r="I191" i="12"/>
  <c r="H191" i="12"/>
  <c r="H190" i="12"/>
  <c r="I190" i="12" s="1"/>
  <c r="I189" i="12"/>
  <c r="H189" i="12"/>
  <c r="H188" i="12"/>
  <c r="I188" i="12" s="1"/>
  <c r="I187" i="12"/>
  <c r="H187" i="12"/>
  <c r="H186" i="12"/>
  <c r="I186" i="12" s="1"/>
  <c r="I185" i="12"/>
  <c r="H185" i="12"/>
  <c r="H184" i="12"/>
  <c r="I184" i="12" s="1"/>
  <c r="H183" i="12"/>
  <c r="I183" i="12" s="1"/>
  <c r="I182" i="12"/>
  <c r="H182" i="12"/>
  <c r="H181" i="12"/>
  <c r="I181" i="12" s="1"/>
  <c r="I180" i="12"/>
  <c r="H180" i="12"/>
  <c r="H179" i="12"/>
  <c r="I179" i="12" s="1"/>
  <c r="H178" i="12"/>
  <c r="I178" i="12" s="1"/>
  <c r="H177" i="12"/>
  <c r="I177" i="12" s="1"/>
  <c r="I176" i="12"/>
  <c r="H176" i="12"/>
  <c r="H175" i="12"/>
  <c r="I175" i="12" s="1"/>
  <c r="I174" i="12"/>
  <c r="H174" i="12"/>
  <c r="H173" i="12"/>
  <c r="I173" i="12" s="1"/>
  <c r="H172" i="12"/>
  <c r="I172" i="12" s="1"/>
  <c r="I171" i="12"/>
  <c r="H171" i="12"/>
  <c r="H170" i="12"/>
  <c r="I170" i="12" s="1"/>
  <c r="H169" i="12"/>
  <c r="I169" i="12" s="1"/>
  <c r="H168" i="12"/>
  <c r="I168" i="12" s="1"/>
  <c r="H167" i="12"/>
  <c r="I167" i="12" s="1"/>
  <c r="I166" i="12"/>
  <c r="H166" i="12"/>
  <c r="H165" i="12"/>
  <c r="I165" i="12" s="1"/>
  <c r="H164" i="12"/>
  <c r="I164" i="12" s="1"/>
  <c r="H163" i="12"/>
  <c r="I163" i="12" s="1"/>
  <c r="H162" i="12"/>
  <c r="I162" i="12" s="1"/>
  <c r="I161" i="12"/>
  <c r="H161" i="12"/>
  <c r="H160" i="12"/>
  <c r="I160" i="12" s="1"/>
  <c r="H159" i="12"/>
  <c r="I159" i="12" s="1"/>
  <c r="H158" i="12"/>
  <c r="I158" i="12" s="1"/>
  <c r="H157" i="12"/>
  <c r="I157" i="12" s="1"/>
  <c r="I156" i="12"/>
  <c r="H156" i="12"/>
  <c r="H155" i="12"/>
  <c r="I155" i="12" s="1"/>
  <c r="H154" i="12"/>
  <c r="I154" i="12" s="1"/>
  <c r="H153" i="12"/>
  <c r="I153" i="12" s="1"/>
  <c r="H152" i="12"/>
  <c r="I152" i="12" s="1"/>
  <c r="I151" i="12"/>
  <c r="H151" i="12"/>
  <c r="H150" i="12"/>
  <c r="I150" i="12" s="1"/>
  <c r="H149" i="12"/>
  <c r="I149" i="12" s="1"/>
  <c r="H148" i="12"/>
  <c r="I148" i="12" s="1"/>
  <c r="H147" i="12"/>
  <c r="I147" i="12" s="1"/>
  <c r="I146" i="12"/>
  <c r="H146" i="12"/>
  <c r="H145" i="12"/>
  <c r="I145" i="12" s="1"/>
  <c r="H144" i="12"/>
  <c r="I144" i="12" s="1"/>
  <c r="H143" i="12"/>
  <c r="I143" i="12" s="1"/>
  <c r="H142" i="12"/>
  <c r="I142" i="12" s="1"/>
  <c r="I141" i="12"/>
  <c r="H141" i="12"/>
  <c r="H140" i="12"/>
  <c r="I140" i="12" s="1"/>
  <c r="H139" i="12"/>
  <c r="I139" i="12" s="1"/>
  <c r="H138" i="12"/>
  <c r="I138" i="12" s="1"/>
  <c r="H137" i="12"/>
  <c r="I137" i="12" s="1"/>
  <c r="I136" i="12"/>
  <c r="H136" i="12"/>
  <c r="H135" i="12"/>
  <c r="I135" i="12" s="1"/>
  <c r="H134" i="12"/>
  <c r="I134" i="12" s="1"/>
  <c r="H133" i="12"/>
  <c r="I133" i="12" s="1"/>
  <c r="H132" i="12"/>
  <c r="I132" i="12" s="1"/>
  <c r="I131" i="12"/>
  <c r="H131" i="12"/>
  <c r="H130" i="12"/>
  <c r="I130" i="12" s="1"/>
  <c r="H129" i="12"/>
  <c r="I129" i="12" s="1"/>
  <c r="H128" i="12"/>
  <c r="I128" i="12" s="1"/>
  <c r="H127" i="12"/>
  <c r="I127" i="12" s="1"/>
  <c r="I126" i="12"/>
  <c r="H126" i="12"/>
  <c r="H125" i="12"/>
  <c r="I125" i="12" s="1"/>
  <c r="H124" i="12"/>
  <c r="I124" i="12" s="1"/>
  <c r="H123" i="12"/>
  <c r="I123" i="12" s="1"/>
  <c r="H122" i="12"/>
  <c r="I122" i="12" s="1"/>
  <c r="I121" i="12"/>
  <c r="H121" i="12"/>
  <c r="H120" i="12"/>
  <c r="I120" i="12" s="1"/>
  <c r="H119" i="12"/>
  <c r="I119" i="12" s="1"/>
  <c r="H118" i="12"/>
  <c r="I118" i="12" s="1"/>
  <c r="H117" i="12"/>
  <c r="I117" i="12" s="1"/>
  <c r="I116" i="12"/>
  <c r="H116" i="12"/>
  <c r="H115" i="12"/>
  <c r="I115" i="12" s="1"/>
  <c r="H114" i="12"/>
  <c r="I114" i="12" s="1"/>
  <c r="H113" i="12"/>
  <c r="I113" i="12" s="1"/>
  <c r="H112" i="12"/>
  <c r="I112" i="12" s="1"/>
  <c r="I111" i="12"/>
  <c r="H111" i="12"/>
  <c r="H110" i="12"/>
  <c r="I110" i="12" s="1"/>
  <c r="H109" i="12"/>
  <c r="I109" i="12" s="1"/>
  <c r="H108" i="12"/>
  <c r="I108" i="12" s="1"/>
  <c r="H107" i="12"/>
  <c r="I107" i="12" s="1"/>
  <c r="I106" i="12"/>
  <c r="H106" i="12"/>
  <c r="H105" i="12"/>
  <c r="I105" i="12" s="1"/>
  <c r="H104" i="12"/>
  <c r="I104" i="12" s="1"/>
  <c r="H103" i="12"/>
  <c r="I103" i="12" s="1"/>
  <c r="H102" i="12"/>
  <c r="I102" i="12" s="1"/>
  <c r="I101" i="12"/>
  <c r="H101" i="12"/>
  <c r="H100" i="12"/>
  <c r="I100" i="12" s="1"/>
  <c r="H99" i="12"/>
  <c r="I99" i="12" s="1"/>
  <c r="H98" i="12"/>
  <c r="I98" i="12" s="1"/>
  <c r="H97" i="12"/>
  <c r="I97" i="12" s="1"/>
  <c r="I96" i="12"/>
  <c r="H96" i="12"/>
  <c r="H95" i="12"/>
  <c r="I95" i="12" s="1"/>
  <c r="H94" i="12"/>
  <c r="I94" i="12" s="1"/>
  <c r="H93" i="12"/>
  <c r="I93" i="12" s="1"/>
  <c r="H92" i="12"/>
  <c r="I92" i="12" s="1"/>
  <c r="I91" i="12"/>
  <c r="H91" i="12"/>
  <c r="H90" i="12"/>
  <c r="I90" i="12" s="1"/>
  <c r="H89" i="12"/>
  <c r="I89" i="12" s="1"/>
  <c r="H88" i="12"/>
  <c r="I88" i="12" s="1"/>
  <c r="H87" i="12"/>
  <c r="I87" i="12" s="1"/>
  <c r="I86" i="12"/>
  <c r="H86" i="12"/>
  <c r="H85" i="12"/>
  <c r="I85" i="12" s="1"/>
  <c r="H84" i="12"/>
  <c r="I84" i="12" s="1"/>
  <c r="H83" i="12"/>
  <c r="I83" i="12" s="1"/>
  <c r="H82" i="12"/>
  <c r="I82" i="12" s="1"/>
  <c r="H81" i="12"/>
  <c r="I81" i="12" s="1"/>
  <c r="H80" i="12"/>
  <c r="I80" i="12" s="1"/>
  <c r="H79" i="12"/>
  <c r="I79" i="12" s="1"/>
  <c r="H78" i="12"/>
  <c r="I78" i="12" s="1"/>
  <c r="H77" i="12"/>
  <c r="I77" i="12" s="1"/>
  <c r="H76" i="12"/>
  <c r="I76" i="12" s="1"/>
  <c r="H75" i="12"/>
  <c r="I75" i="12" s="1"/>
  <c r="H74" i="12"/>
  <c r="I74" i="12" s="1"/>
  <c r="H73" i="12"/>
  <c r="I73" i="12" s="1"/>
  <c r="H72" i="12"/>
  <c r="I72" i="12" s="1"/>
  <c r="H71" i="12"/>
  <c r="I71" i="12" s="1"/>
  <c r="H70" i="12"/>
  <c r="I70" i="12" s="1"/>
  <c r="H69" i="12"/>
  <c r="I69" i="12" s="1"/>
  <c r="H68" i="12"/>
  <c r="I68" i="12" s="1"/>
  <c r="H67" i="12"/>
  <c r="I67" i="12" s="1"/>
  <c r="H66" i="12"/>
  <c r="I66" i="12" s="1"/>
  <c r="H65" i="12"/>
  <c r="I65" i="12" s="1"/>
  <c r="H64" i="12"/>
  <c r="I64" i="12" s="1"/>
  <c r="H63" i="12"/>
  <c r="I63" i="12" s="1"/>
  <c r="H62" i="12"/>
  <c r="I62" i="12" s="1"/>
  <c r="H61" i="12"/>
  <c r="I61" i="12" s="1"/>
  <c r="H60" i="12"/>
  <c r="I60" i="12" s="1"/>
  <c r="H59" i="12"/>
  <c r="I59" i="12" s="1"/>
  <c r="H58" i="12"/>
  <c r="I58" i="12" s="1"/>
  <c r="H57" i="12"/>
  <c r="I57" i="12" s="1"/>
  <c r="H56" i="12"/>
  <c r="I56" i="12" s="1"/>
  <c r="H55" i="12"/>
  <c r="I55" i="12" s="1"/>
  <c r="H54" i="12"/>
  <c r="I54" i="12" s="1"/>
  <c r="H53" i="12"/>
  <c r="I53" i="12" s="1"/>
  <c r="H52" i="12"/>
  <c r="I52" i="12" s="1"/>
  <c r="H51" i="12"/>
  <c r="I51" i="12" s="1"/>
  <c r="H50" i="12"/>
  <c r="I50" i="12" s="1"/>
  <c r="H49" i="12"/>
  <c r="I49" i="12" s="1"/>
  <c r="H48" i="12"/>
  <c r="I48" i="12" s="1"/>
  <c r="H47" i="12"/>
  <c r="I47" i="12" s="1"/>
  <c r="H46" i="12"/>
  <c r="I46" i="12" s="1"/>
  <c r="H45" i="12"/>
  <c r="I45" i="12" s="1"/>
  <c r="H44" i="12"/>
  <c r="I44" i="12" s="1"/>
  <c r="H43" i="12"/>
  <c r="I43" i="12" s="1"/>
  <c r="H42" i="12"/>
  <c r="I42" i="12" s="1"/>
  <c r="H41" i="12"/>
  <c r="I41" i="12" s="1"/>
  <c r="H40" i="12"/>
  <c r="I40" i="12" s="1"/>
  <c r="H39" i="12"/>
  <c r="I39" i="12" s="1"/>
  <c r="H38" i="12"/>
  <c r="I38" i="12" s="1"/>
  <c r="H37" i="12"/>
  <c r="I37" i="12" s="1"/>
  <c r="H36" i="12"/>
  <c r="I36" i="12" s="1"/>
  <c r="H35" i="12"/>
  <c r="I35" i="12" s="1"/>
  <c r="H34" i="12"/>
  <c r="I34" i="12" s="1"/>
  <c r="H33" i="12"/>
  <c r="I33" i="12" s="1"/>
  <c r="H32" i="12"/>
  <c r="I32" i="12" s="1"/>
  <c r="H31" i="12"/>
  <c r="I31" i="12" s="1"/>
  <c r="H30" i="12"/>
  <c r="I30" i="12" s="1"/>
  <c r="H29" i="12"/>
  <c r="I29" i="12" s="1"/>
  <c r="H28" i="12"/>
  <c r="I28" i="12" s="1"/>
  <c r="H27" i="12"/>
  <c r="I27" i="12" s="1"/>
  <c r="H26" i="12"/>
  <c r="I26" i="12" s="1"/>
  <c r="H25" i="12"/>
  <c r="I25" i="12" s="1"/>
  <c r="H24" i="12"/>
  <c r="I24" i="12" s="1"/>
  <c r="H23" i="12"/>
  <c r="I23" i="12" s="1"/>
  <c r="H22" i="12"/>
  <c r="I22" i="12" s="1"/>
  <c r="H21" i="12"/>
  <c r="I21" i="12" s="1"/>
  <c r="H20" i="12"/>
  <c r="I20" i="12" s="1"/>
  <c r="H19" i="12"/>
  <c r="I19" i="12" s="1"/>
  <c r="H18" i="12"/>
  <c r="I18" i="12" s="1"/>
  <c r="H17" i="12"/>
  <c r="I17" i="12" s="1"/>
  <c r="H16" i="12"/>
  <c r="I16" i="12" s="1"/>
  <c r="H15" i="12"/>
  <c r="I15" i="12" s="1"/>
  <c r="H14" i="12"/>
  <c r="I14" i="12" s="1"/>
  <c r="H13" i="12"/>
  <c r="I13" i="12" s="1"/>
  <c r="H12" i="12"/>
  <c r="I12" i="12" s="1"/>
  <c r="H11" i="12"/>
  <c r="I11" i="12" s="1"/>
  <c r="H10" i="12"/>
  <c r="I10" i="12" s="1"/>
  <c r="H9" i="12"/>
  <c r="I9" i="12" s="1"/>
  <c r="H8" i="12"/>
  <c r="I8" i="12" s="1"/>
  <c r="H7" i="12"/>
  <c r="I7" i="12" s="1"/>
  <c r="H6" i="12"/>
  <c r="I6" i="12" s="1"/>
  <c r="H5" i="12"/>
  <c r="I5" i="12" s="1"/>
  <c r="H4" i="12"/>
  <c r="I4" i="12" s="1"/>
  <c r="H3" i="12"/>
  <c r="I3" i="12" s="1"/>
  <c r="H2" i="12"/>
  <c r="I2" i="12" s="1"/>
  <c r="W2" i="10" a="1"/>
  <c r="W2" i="10" s="1"/>
  <c r="V3" i="10" a="1"/>
  <c r="V3" i="10" s="1"/>
  <c r="V4" i="10" a="1"/>
  <c r="V4" i="10" s="1"/>
  <c r="V5" i="10" a="1"/>
  <c r="V5" i="10" s="1"/>
  <c r="V6" i="10" a="1"/>
  <c r="V6" i="10" s="1"/>
  <c r="V7" i="10" a="1"/>
  <c r="V7" i="10" s="1"/>
  <c r="V8" i="10" a="1"/>
  <c r="V8" i="10" s="1"/>
  <c r="V9" i="10" a="1"/>
  <c r="V9" i="10" s="1"/>
  <c r="V10" i="10" a="1"/>
  <c r="V10" i="10" s="1"/>
  <c r="V11" i="10" a="1"/>
  <c r="V11" i="10" s="1"/>
  <c r="V12" i="10" a="1"/>
  <c r="V12" i="10" s="1"/>
  <c r="V13" i="10" a="1"/>
  <c r="V13" i="10" s="1"/>
  <c r="V14" i="10" a="1"/>
  <c r="V14" i="10" s="1"/>
  <c r="V15" i="10" a="1"/>
  <c r="V15" i="10" s="1"/>
  <c r="V16" i="10" a="1"/>
  <c r="V16" i="10" s="1"/>
  <c r="V17" i="10" a="1"/>
  <c r="V17" i="10" s="1"/>
  <c r="V18" i="10" a="1"/>
  <c r="V18" i="10" s="1"/>
  <c r="V19" i="10" a="1"/>
  <c r="V19" i="10" s="1"/>
  <c r="V20" i="10" a="1"/>
  <c r="V20" i="10" s="1"/>
  <c r="V21" i="10" a="1"/>
  <c r="V21" i="10" s="1"/>
  <c r="V22" i="10" a="1"/>
  <c r="V22" i="10" s="1"/>
  <c r="V23" i="10" a="1"/>
  <c r="V23" i="10" s="1"/>
  <c r="V24" i="10" a="1"/>
  <c r="V24" i="10" s="1"/>
  <c r="V25" i="10" a="1"/>
  <c r="V25" i="10" s="1"/>
  <c r="V26" i="10" a="1"/>
  <c r="V26" i="10" s="1"/>
  <c r="V27" i="10" a="1"/>
  <c r="V27" i="10" s="1"/>
  <c r="V28" i="10" a="1"/>
  <c r="V28" i="10" s="1"/>
  <c r="V29" i="10" a="1"/>
  <c r="V29" i="10" s="1"/>
  <c r="V30" i="10" a="1"/>
  <c r="V30" i="10" s="1"/>
  <c r="V31" i="10" a="1"/>
  <c r="V31" i="10" s="1"/>
  <c r="V32" i="10" a="1"/>
  <c r="V32" i="10" s="1"/>
  <c r="V33" i="10" a="1"/>
  <c r="V33" i="10" s="1"/>
  <c r="V34" i="10" a="1"/>
  <c r="V34" i="10" s="1"/>
  <c r="V35" i="10" a="1"/>
  <c r="V35" i="10" s="1"/>
  <c r="V36" i="10" a="1"/>
  <c r="V36" i="10" s="1"/>
  <c r="V37" i="10" a="1"/>
  <c r="V37" i="10" s="1"/>
  <c r="V38" i="10" a="1"/>
  <c r="V38" i="10" s="1"/>
  <c r="V39" i="10" a="1"/>
  <c r="V39" i="10" s="1"/>
  <c r="V40" i="10" a="1"/>
  <c r="V40" i="10" s="1"/>
  <c r="V41" i="10" a="1"/>
  <c r="V41" i="10" s="1"/>
  <c r="V42" i="10" a="1"/>
  <c r="V42" i="10" s="1"/>
  <c r="V43" i="10" a="1"/>
  <c r="V43" i="10" s="1"/>
  <c r="V44" i="10" a="1"/>
  <c r="V44" i="10" s="1"/>
  <c r="V45" i="10" a="1"/>
  <c r="V45" i="10" s="1"/>
  <c r="V46" i="10" a="1"/>
  <c r="V46" i="10" s="1"/>
  <c r="V47" i="10" a="1"/>
  <c r="V47" i="10" s="1"/>
  <c r="V48" i="10" a="1"/>
  <c r="V48" i="10" s="1"/>
  <c r="V49" i="10" a="1"/>
  <c r="V49" i="10" s="1"/>
  <c r="V50" i="10" a="1"/>
  <c r="V50" i="10" s="1"/>
  <c r="V51" i="10" a="1"/>
  <c r="V51" i="10" s="1"/>
  <c r="V52" i="10" a="1"/>
  <c r="V52" i="10" s="1"/>
  <c r="V53" i="10" a="1"/>
  <c r="V53" i="10" s="1"/>
  <c r="V54" i="10" a="1"/>
  <c r="V54" i="10" s="1"/>
  <c r="V55" i="10" a="1"/>
  <c r="V55" i="10" s="1"/>
  <c r="V56" i="10" a="1"/>
  <c r="V56" i="10" s="1"/>
  <c r="V57" i="10" a="1"/>
  <c r="V57" i="10" s="1"/>
  <c r="V58" i="10" a="1"/>
  <c r="V58" i="10" s="1"/>
  <c r="V59" i="10" a="1"/>
  <c r="V59" i="10" s="1"/>
  <c r="V60" i="10" a="1"/>
  <c r="V60" i="10" s="1"/>
  <c r="V61" i="10" a="1"/>
  <c r="V61" i="10" s="1"/>
  <c r="V62" i="10" a="1"/>
  <c r="V62" i="10" s="1"/>
  <c r="V63" i="10" a="1"/>
  <c r="V63" i="10" s="1"/>
  <c r="V64" i="10" a="1"/>
  <c r="V64" i="10" s="1"/>
  <c r="V65" i="10" a="1"/>
  <c r="V65" i="10" s="1"/>
  <c r="V66" i="10" a="1"/>
  <c r="V66" i="10" s="1"/>
  <c r="V67" i="10" a="1"/>
  <c r="V67" i="10" s="1"/>
  <c r="V68" i="10" a="1"/>
  <c r="V68" i="10" s="1"/>
  <c r="V69" i="10" a="1"/>
  <c r="V69" i="10" s="1"/>
  <c r="V70" i="10" a="1"/>
  <c r="V70" i="10" s="1"/>
  <c r="V71" i="10" a="1"/>
  <c r="V71" i="10" s="1"/>
  <c r="V72" i="10" a="1"/>
  <c r="V72" i="10" s="1"/>
  <c r="V73" i="10" a="1"/>
  <c r="V73" i="10" s="1"/>
  <c r="V74" i="10" a="1"/>
  <c r="V74" i="10" s="1"/>
  <c r="V75" i="10" a="1"/>
  <c r="V75" i="10" s="1"/>
  <c r="V76" i="10" a="1"/>
  <c r="V76" i="10" s="1"/>
  <c r="V77" i="10" a="1"/>
  <c r="V77" i="10" s="1"/>
  <c r="V78" i="10" a="1"/>
  <c r="V78" i="10" s="1"/>
  <c r="V79" i="10" a="1"/>
  <c r="V79" i="10" s="1"/>
  <c r="V80" i="10" a="1"/>
  <c r="V80" i="10" s="1"/>
  <c r="V81" i="10" a="1"/>
  <c r="V81" i="10" s="1"/>
  <c r="V82" i="10" a="1"/>
  <c r="V82" i="10" s="1"/>
  <c r="V83" i="10" a="1"/>
  <c r="V83" i="10" s="1"/>
  <c r="V84" i="10" a="1"/>
  <c r="V84" i="10" s="1"/>
  <c r="V85" i="10" a="1"/>
  <c r="V85" i="10" s="1"/>
  <c r="V86" i="10" a="1"/>
  <c r="V86" i="10" s="1"/>
  <c r="V87" i="10" a="1"/>
  <c r="V87" i="10" s="1"/>
  <c r="V88" i="10" a="1"/>
  <c r="V88" i="10" s="1"/>
  <c r="V89" i="10" a="1"/>
  <c r="V89" i="10" s="1"/>
  <c r="V90" i="10" a="1"/>
  <c r="V90" i="10" s="1"/>
  <c r="V91" i="10" a="1"/>
  <c r="V91" i="10" s="1"/>
  <c r="V92" i="10" a="1"/>
  <c r="V92" i="10" s="1"/>
  <c r="V93" i="10" a="1"/>
  <c r="V93" i="10" s="1"/>
  <c r="V94" i="10" a="1"/>
  <c r="V94" i="10" s="1"/>
  <c r="V95" i="10" a="1"/>
  <c r="V95" i="10" s="1"/>
  <c r="V96" i="10" a="1"/>
  <c r="V96" i="10" s="1"/>
  <c r="V97" i="10" a="1"/>
  <c r="V97" i="10" s="1"/>
  <c r="V98" i="10" a="1"/>
  <c r="V98" i="10" s="1"/>
  <c r="V99" i="10" a="1"/>
  <c r="V99" i="10" s="1"/>
  <c r="V100" i="10" a="1"/>
  <c r="V100" i="10" s="1"/>
  <c r="V101" i="10" a="1"/>
  <c r="V101" i="10" s="1"/>
  <c r="V102" i="10" a="1"/>
  <c r="V102" i="10" s="1"/>
  <c r="V103" i="10" a="1"/>
  <c r="V103" i="10" s="1"/>
  <c r="V104" i="10" a="1"/>
  <c r="V104" i="10" s="1"/>
  <c r="V105" i="10" a="1"/>
  <c r="V105" i="10" s="1"/>
  <c r="V106" i="10" a="1"/>
  <c r="V106" i="10" s="1"/>
  <c r="V107" i="10" a="1"/>
  <c r="V107" i="10" s="1"/>
  <c r="V108" i="10" a="1"/>
  <c r="V108" i="10" s="1"/>
  <c r="V109" i="10" a="1"/>
  <c r="V109" i="10" s="1"/>
  <c r="V110" i="10" a="1"/>
  <c r="V110" i="10" s="1"/>
  <c r="V111" i="10" a="1"/>
  <c r="V111" i="10" s="1"/>
  <c r="V112" i="10" a="1"/>
  <c r="V112" i="10" s="1"/>
  <c r="V113" i="10" a="1"/>
  <c r="V113" i="10" s="1"/>
  <c r="V114" i="10" a="1"/>
  <c r="V114" i="10" s="1"/>
  <c r="V115" i="10" a="1"/>
  <c r="V115" i="10" s="1"/>
  <c r="V116" i="10" a="1"/>
  <c r="V116" i="10" s="1"/>
  <c r="V117" i="10" a="1"/>
  <c r="V117" i="10" s="1"/>
  <c r="V118" i="10" a="1"/>
  <c r="V118" i="10" s="1"/>
  <c r="V119" i="10" a="1"/>
  <c r="V119" i="10" s="1"/>
  <c r="V120" i="10" a="1"/>
  <c r="V120" i="10" s="1"/>
  <c r="V121" i="10" a="1"/>
  <c r="V121" i="10" s="1"/>
  <c r="V122" i="10" a="1"/>
  <c r="V122" i="10" s="1"/>
  <c r="V123" i="10" a="1"/>
  <c r="V123" i="10" s="1"/>
  <c r="V124" i="10" a="1"/>
  <c r="V124" i="10" s="1"/>
  <c r="V125" i="10" a="1"/>
  <c r="V125" i="10" s="1"/>
  <c r="V126" i="10" a="1"/>
  <c r="V126" i="10" s="1"/>
  <c r="V127" i="10" a="1"/>
  <c r="V127" i="10" s="1"/>
  <c r="V128" i="10" a="1"/>
  <c r="V128" i="10" s="1"/>
  <c r="V129" i="10" a="1"/>
  <c r="V129" i="10" s="1"/>
  <c r="V130" i="10" a="1"/>
  <c r="V130" i="10" s="1"/>
  <c r="V131" i="10" a="1"/>
  <c r="V131" i="10" s="1"/>
  <c r="V132" i="10" a="1"/>
  <c r="V132" i="10" s="1"/>
  <c r="V133" i="10" a="1"/>
  <c r="V133" i="10" s="1"/>
  <c r="V134" i="10" a="1"/>
  <c r="V134" i="10" s="1"/>
  <c r="V135" i="10" a="1"/>
  <c r="V135" i="10" s="1"/>
  <c r="V136" i="10" a="1"/>
  <c r="V136" i="10" s="1"/>
  <c r="V137" i="10" a="1"/>
  <c r="V137" i="10" s="1"/>
  <c r="V138" i="10" a="1"/>
  <c r="V138" i="10" s="1"/>
  <c r="V139" i="10" a="1"/>
  <c r="V139" i="10" s="1"/>
  <c r="V140" i="10" a="1"/>
  <c r="V140" i="10" s="1"/>
  <c r="V141" i="10" a="1"/>
  <c r="V141" i="10" s="1"/>
  <c r="V142" i="10" a="1"/>
  <c r="V142" i="10" s="1"/>
  <c r="V143" i="10" a="1"/>
  <c r="V143" i="10" s="1"/>
  <c r="V144" i="10" a="1"/>
  <c r="V144" i="10" s="1"/>
  <c r="V145" i="10" a="1"/>
  <c r="V145" i="10" s="1"/>
  <c r="V146" i="10" a="1"/>
  <c r="V146" i="10" s="1"/>
  <c r="V147" i="10" a="1"/>
  <c r="V147" i="10" s="1"/>
  <c r="V148" i="10" a="1"/>
  <c r="V148" i="10" s="1"/>
  <c r="V149" i="10" a="1"/>
  <c r="V149" i="10" s="1"/>
  <c r="V150" i="10" a="1"/>
  <c r="V150" i="10" s="1"/>
  <c r="V151" i="10" a="1"/>
  <c r="V151" i="10" s="1"/>
  <c r="V152" i="10" a="1"/>
  <c r="V152" i="10" s="1"/>
  <c r="V153" i="10" a="1"/>
  <c r="V153" i="10" s="1"/>
  <c r="V154" i="10" a="1"/>
  <c r="V154" i="10" s="1"/>
  <c r="V155" i="10" a="1"/>
  <c r="V155" i="10" s="1"/>
  <c r="V156" i="10" a="1"/>
  <c r="V156" i="10" s="1"/>
  <c r="V157" i="10" a="1"/>
  <c r="V157" i="10" s="1"/>
  <c r="V158" i="10" a="1"/>
  <c r="V158" i="10" s="1"/>
  <c r="V159" i="10" a="1"/>
  <c r="V159" i="10" s="1"/>
  <c r="V160" i="10" a="1"/>
  <c r="V160" i="10" s="1"/>
  <c r="V161" i="10" a="1"/>
  <c r="V161" i="10" s="1"/>
  <c r="V162" i="10" a="1"/>
  <c r="V162" i="10" s="1"/>
  <c r="V163" i="10" a="1"/>
  <c r="V163" i="10" s="1"/>
  <c r="V164" i="10" a="1"/>
  <c r="V164" i="10" s="1"/>
  <c r="V165" i="10" a="1"/>
  <c r="V165" i="10" s="1"/>
  <c r="V166" i="10" a="1"/>
  <c r="V166" i="10" s="1"/>
  <c r="V167" i="10" a="1"/>
  <c r="V167" i="10" s="1"/>
  <c r="V168" i="10" a="1"/>
  <c r="V168" i="10" s="1"/>
  <c r="V169" i="10" a="1"/>
  <c r="V169" i="10" s="1"/>
  <c r="V170" i="10" a="1"/>
  <c r="V170" i="10" s="1"/>
  <c r="V171" i="10" a="1"/>
  <c r="V171" i="10" s="1"/>
  <c r="V172" i="10" a="1"/>
  <c r="V172" i="10" s="1"/>
  <c r="V173" i="10" a="1"/>
  <c r="V173" i="10" s="1"/>
  <c r="V174" i="10" a="1"/>
  <c r="V174" i="10" s="1"/>
  <c r="V175" i="10" a="1"/>
  <c r="V175" i="10" s="1"/>
  <c r="V176" i="10" a="1"/>
  <c r="V176" i="10" s="1"/>
  <c r="V177" i="10" a="1"/>
  <c r="V177" i="10" s="1"/>
  <c r="V178" i="10" a="1"/>
  <c r="V178" i="10" s="1"/>
  <c r="V179" i="10" a="1"/>
  <c r="V179" i="10" s="1"/>
  <c r="V180" i="10" a="1"/>
  <c r="V180" i="10" s="1"/>
  <c r="V2" i="10" a="1"/>
  <c r="V2" i="10" s="1"/>
  <c r="U3" i="10" a="1"/>
  <c r="U3" i="10" s="1"/>
  <c r="U4" i="10" a="1"/>
  <c r="U4" i="10" s="1"/>
  <c r="U5" i="10" a="1"/>
  <c r="U5" i="10" s="1"/>
  <c r="U6" i="10" a="1"/>
  <c r="U6" i="10" s="1"/>
  <c r="U7" i="10" a="1"/>
  <c r="U7" i="10" s="1"/>
  <c r="U8" i="10" a="1"/>
  <c r="U8" i="10" s="1"/>
  <c r="U9" i="10" a="1"/>
  <c r="U9" i="10" s="1"/>
  <c r="U10" i="10" a="1"/>
  <c r="U10" i="10" s="1"/>
  <c r="U11" i="10" a="1"/>
  <c r="U11" i="10" s="1"/>
  <c r="U12" i="10" a="1"/>
  <c r="U12" i="10" s="1"/>
  <c r="U13" i="10" a="1"/>
  <c r="U13" i="10" s="1"/>
  <c r="U14" i="10" a="1"/>
  <c r="U14" i="10" s="1"/>
  <c r="U15" i="10" a="1"/>
  <c r="U15" i="10" s="1"/>
  <c r="U16" i="10" a="1"/>
  <c r="U16" i="10" s="1"/>
  <c r="U17" i="10" a="1"/>
  <c r="U17" i="10" s="1"/>
  <c r="U18" i="10" a="1"/>
  <c r="U18" i="10" s="1"/>
  <c r="U19" i="10" a="1"/>
  <c r="U19" i="10" s="1"/>
  <c r="U20" i="10" a="1"/>
  <c r="U20" i="10" s="1"/>
  <c r="U21" i="10" a="1"/>
  <c r="U21" i="10" s="1"/>
  <c r="U22" i="10" a="1"/>
  <c r="U22" i="10" s="1"/>
  <c r="U23" i="10" a="1"/>
  <c r="U23" i="10" s="1"/>
  <c r="U24" i="10" a="1"/>
  <c r="U24" i="10" s="1"/>
  <c r="U25" i="10" a="1"/>
  <c r="U25" i="10" s="1"/>
  <c r="U26" i="10" a="1"/>
  <c r="U26" i="10" s="1"/>
  <c r="U27" i="10" a="1"/>
  <c r="U27" i="10" s="1"/>
  <c r="U28" i="10" a="1"/>
  <c r="U28" i="10" s="1"/>
  <c r="U29" i="10" a="1"/>
  <c r="U29" i="10" s="1"/>
  <c r="U30" i="10" a="1"/>
  <c r="U30" i="10" s="1"/>
  <c r="U31" i="10" a="1"/>
  <c r="U31" i="10" s="1"/>
  <c r="U32" i="10" a="1"/>
  <c r="U32" i="10" s="1"/>
  <c r="U33" i="10" a="1"/>
  <c r="U33" i="10" s="1"/>
  <c r="U34" i="10" a="1"/>
  <c r="U34" i="10" s="1"/>
  <c r="U35" i="10" a="1"/>
  <c r="U35" i="10" s="1"/>
  <c r="U36" i="10" a="1"/>
  <c r="U36" i="10" s="1"/>
  <c r="U37" i="10" a="1"/>
  <c r="U37" i="10" s="1"/>
  <c r="U38" i="10" a="1"/>
  <c r="U38" i="10" s="1"/>
  <c r="U39" i="10" a="1"/>
  <c r="U39" i="10" s="1"/>
  <c r="U40" i="10" a="1"/>
  <c r="U40" i="10" s="1"/>
  <c r="U41" i="10" a="1"/>
  <c r="U41" i="10" s="1"/>
  <c r="U42" i="10" a="1"/>
  <c r="U42" i="10" s="1"/>
  <c r="U43" i="10" a="1"/>
  <c r="U43" i="10" s="1"/>
  <c r="U44" i="10" a="1"/>
  <c r="U44" i="10" s="1"/>
  <c r="U45" i="10" a="1"/>
  <c r="U45" i="10" s="1"/>
  <c r="U46" i="10" a="1"/>
  <c r="U46" i="10" s="1"/>
  <c r="U47" i="10" a="1"/>
  <c r="U47" i="10" s="1"/>
  <c r="U48" i="10" a="1"/>
  <c r="U48" i="10" s="1"/>
  <c r="U49" i="10" a="1"/>
  <c r="U49" i="10" s="1"/>
  <c r="U50" i="10" a="1"/>
  <c r="U50" i="10" s="1"/>
  <c r="U51" i="10" a="1"/>
  <c r="U51" i="10" s="1"/>
  <c r="U52" i="10" a="1"/>
  <c r="U52" i="10" s="1"/>
  <c r="U53" i="10" a="1"/>
  <c r="U53" i="10" s="1"/>
  <c r="U54" i="10" a="1"/>
  <c r="U54" i="10" s="1"/>
  <c r="U55" i="10" a="1"/>
  <c r="U55" i="10" s="1"/>
  <c r="U56" i="10" a="1"/>
  <c r="U56" i="10" s="1"/>
  <c r="U57" i="10" a="1"/>
  <c r="U57" i="10" s="1"/>
  <c r="U58" i="10" a="1"/>
  <c r="U58" i="10" s="1"/>
  <c r="U59" i="10" a="1"/>
  <c r="U59" i="10" s="1"/>
  <c r="U60" i="10" a="1"/>
  <c r="U60" i="10" s="1"/>
  <c r="U61" i="10" a="1"/>
  <c r="U61" i="10" s="1"/>
  <c r="U62" i="10" a="1"/>
  <c r="U62" i="10" s="1"/>
  <c r="U63" i="10" a="1"/>
  <c r="U63" i="10" s="1"/>
  <c r="U64" i="10" a="1"/>
  <c r="U64" i="10" s="1"/>
  <c r="U65" i="10" a="1"/>
  <c r="U65" i="10" s="1"/>
  <c r="U66" i="10" a="1"/>
  <c r="U66" i="10" s="1"/>
  <c r="U67" i="10" a="1"/>
  <c r="U67" i="10" s="1"/>
  <c r="U68" i="10" a="1"/>
  <c r="U68" i="10" s="1"/>
  <c r="U69" i="10" a="1"/>
  <c r="U69" i="10" s="1"/>
  <c r="U70" i="10" a="1"/>
  <c r="U70" i="10" s="1"/>
  <c r="U71" i="10" a="1"/>
  <c r="U71" i="10" s="1"/>
  <c r="U72" i="10" a="1"/>
  <c r="U72" i="10" s="1"/>
  <c r="U73" i="10" a="1"/>
  <c r="U73" i="10" s="1"/>
  <c r="U74" i="10" a="1"/>
  <c r="U74" i="10" s="1"/>
  <c r="U75" i="10" a="1"/>
  <c r="U75" i="10" s="1"/>
  <c r="U76" i="10" a="1"/>
  <c r="U76" i="10" s="1"/>
  <c r="U77" i="10" a="1"/>
  <c r="U77" i="10" s="1"/>
  <c r="U78" i="10" a="1"/>
  <c r="U78" i="10" s="1"/>
  <c r="U79" i="10" a="1"/>
  <c r="U79" i="10" s="1"/>
  <c r="U80" i="10" a="1"/>
  <c r="U80" i="10" s="1"/>
  <c r="U81" i="10" a="1"/>
  <c r="U81" i="10" s="1"/>
  <c r="U82" i="10" a="1"/>
  <c r="U82" i="10" s="1"/>
  <c r="U83" i="10" a="1"/>
  <c r="U83" i="10" s="1"/>
  <c r="U84" i="10" a="1"/>
  <c r="U84" i="10" s="1"/>
  <c r="U85" i="10" a="1"/>
  <c r="U85" i="10" s="1"/>
  <c r="U86" i="10" a="1"/>
  <c r="U86" i="10" s="1"/>
  <c r="U87" i="10" a="1"/>
  <c r="U87" i="10" s="1"/>
  <c r="U88" i="10" a="1"/>
  <c r="U88" i="10" s="1"/>
  <c r="U89" i="10" a="1"/>
  <c r="U89" i="10" s="1"/>
  <c r="U90" i="10" a="1"/>
  <c r="U90" i="10" s="1"/>
  <c r="U91" i="10" a="1"/>
  <c r="U91" i="10" s="1"/>
  <c r="U92" i="10" a="1"/>
  <c r="U92" i="10" s="1"/>
  <c r="U93" i="10" a="1"/>
  <c r="U93" i="10" s="1"/>
  <c r="U94" i="10" a="1"/>
  <c r="U94" i="10" s="1"/>
  <c r="U95" i="10" a="1"/>
  <c r="U95" i="10" s="1"/>
  <c r="U96" i="10" a="1"/>
  <c r="U96" i="10" s="1"/>
  <c r="U97" i="10" a="1"/>
  <c r="U97" i="10" s="1"/>
  <c r="U98" i="10" a="1"/>
  <c r="U98" i="10" s="1"/>
  <c r="U99" i="10" a="1"/>
  <c r="U99" i="10" s="1"/>
  <c r="U100" i="10" a="1"/>
  <c r="U100" i="10" s="1"/>
  <c r="U101" i="10" a="1"/>
  <c r="U101" i="10" s="1"/>
  <c r="U102" i="10" a="1"/>
  <c r="U102" i="10" s="1"/>
  <c r="U103" i="10" a="1"/>
  <c r="U103" i="10" s="1"/>
  <c r="U104" i="10" a="1"/>
  <c r="U104" i="10" s="1"/>
  <c r="U105" i="10" a="1"/>
  <c r="U105" i="10" s="1"/>
  <c r="U106" i="10" a="1"/>
  <c r="U106" i="10" s="1"/>
  <c r="U107" i="10" a="1"/>
  <c r="U107" i="10" s="1"/>
  <c r="U108" i="10" a="1"/>
  <c r="U108" i="10" s="1"/>
  <c r="U109" i="10" a="1"/>
  <c r="U109" i="10" s="1"/>
  <c r="U110" i="10" a="1"/>
  <c r="U110" i="10" s="1"/>
  <c r="U111" i="10" a="1"/>
  <c r="U111" i="10" s="1"/>
  <c r="U112" i="10" a="1"/>
  <c r="U112" i="10" s="1"/>
  <c r="U113" i="10" a="1"/>
  <c r="U113" i="10" s="1"/>
  <c r="U114" i="10" a="1"/>
  <c r="U114" i="10" s="1"/>
  <c r="U115" i="10" a="1"/>
  <c r="U115" i="10" s="1"/>
  <c r="U116" i="10" a="1"/>
  <c r="U116" i="10" s="1"/>
  <c r="U117" i="10" a="1"/>
  <c r="U117" i="10" s="1"/>
  <c r="U118" i="10" a="1"/>
  <c r="U118" i="10" s="1"/>
  <c r="U119" i="10" a="1"/>
  <c r="U119" i="10" s="1"/>
  <c r="U120" i="10" a="1"/>
  <c r="U120" i="10" s="1"/>
  <c r="U121" i="10" a="1"/>
  <c r="U121" i="10" s="1"/>
  <c r="U122" i="10" a="1"/>
  <c r="U122" i="10" s="1"/>
  <c r="U123" i="10" a="1"/>
  <c r="U123" i="10" s="1"/>
  <c r="U124" i="10" a="1"/>
  <c r="U124" i="10" s="1"/>
  <c r="U125" i="10" a="1"/>
  <c r="U125" i="10" s="1"/>
  <c r="U126" i="10" a="1"/>
  <c r="U126" i="10" s="1"/>
  <c r="U127" i="10" a="1"/>
  <c r="U127" i="10" s="1"/>
  <c r="U128" i="10" a="1"/>
  <c r="U128" i="10" s="1"/>
  <c r="U129" i="10" a="1"/>
  <c r="U129" i="10" s="1"/>
  <c r="U130" i="10" a="1"/>
  <c r="U130" i="10" s="1"/>
  <c r="U131" i="10" a="1"/>
  <c r="U131" i="10" s="1"/>
  <c r="U132" i="10" a="1"/>
  <c r="U132" i="10" s="1"/>
  <c r="U133" i="10" a="1"/>
  <c r="U133" i="10" s="1"/>
  <c r="U134" i="10" a="1"/>
  <c r="U134" i="10" s="1"/>
  <c r="U135" i="10" a="1"/>
  <c r="U135" i="10" s="1"/>
  <c r="U136" i="10" a="1"/>
  <c r="U136" i="10" s="1"/>
  <c r="U137" i="10" a="1"/>
  <c r="U137" i="10" s="1"/>
  <c r="U138" i="10" a="1"/>
  <c r="U138" i="10" s="1"/>
  <c r="U139" i="10" a="1"/>
  <c r="U139" i="10" s="1"/>
  <c r="U140" i="10" a="1"/>
  <c r="U140" i="10" s="1"/>
  <c r="U141" i="10" a="1"/>
  <c r="U141" i="10" s="1"/>
  <c r="U142" i="10" a="1"/>
  <c r="U142" i="10" s="1"/>
  <c r="U143" i="10" a="1"/>
  <c r="U143" i="10" s="1"/>
  <c r="U144" i="10" a="1"/>
  <c r="U144" i="10" s="1"/>
  <c r="U145" i="10" a="1"/>
  <c r="U145" i="10" s="1"/>
  <c r="U146" i="10" a="1"/>
  <c r="U146" i="10" s="1"/>
  <c r="U147" i="10" a="1"/>
  <c r="U147" i="10" s="1"/>
  <c r="U148" i="10" a="1"/>
  <c r="U148" i="10" s="1"/>
  <c r="U149" i="10" a="1"/>
  <c r="U149" i="10" s="1"/>
  <c r="U150" i="10" a="1"/>
  <c r="U150" i="10" s="1"/>
  <c r="U151" i="10" a="1"/>
  <c r="U151" i="10" s="1"/>
  <c r="U152" i="10" a="1"/>
  <c r="U152" i="10" s="1"/>
  <c r="U153" i="10" a="1"/>
  <c r="U153" i="10" s="1"/>
  <c r="U154" i="10" a="1"/>
  <c r="U154" i="10" s="1"/>
  <c r="U155" i="10" a="1"/>
  <c r="U155" i="10" s="1"/>
  <c r="U156" i="10" a="1"/>
  <c r="U156" i="10" s="1"/>
  <c r="U157" i="10" a="1"/>
  <c r="U157" i="10" s="1"/>
  <c r="U158" i="10" a="1"/>
  <c r="U158" i="10" s="1"/>
  <c r="U159" i="10" a="1"/>
  <c r="U159" i="10" s="1"/>
  <c r="U160" i="10" a="1"/>
  <c r="U160" i="10" s="1"/>
  <c r="U161" i="10" a="1"/>
  <c r="U161" i="10" s="1"/>
  <c r="U162" i="10" a="1"/>
  <c r="U162" i="10" s="1"/>
  <c r="U163" i="10" a="1"/>
  <c r="U163" i="10" s="1"/>
  <c r="U164" i="10" a="1"/>
  <c r="U164" i="10" s="1"/>
  <c r="U165" i="10" a="1"/>
  <c r="U165" i="10" s="1"/>
  <c r="U166" i="10" a="1"/>
  <c r="U166" i="10" s="1"/>
  <c r="U167" i="10" a="1"/>
  <c r="U167" i="10" s="1"/>
  <c r="U168" i="10" a="1"/>
  <c r="U168" i="10" s="1"/>
  <c r="U169" i="10" a="1"/>
  <c r="U169" i="10" s="1"/>
  <c r="U170" i="10" a="1"/>
  <c r="U170" i="10" s="1"/>
  <c r="U171" i="10" a="1"/>
  <c r="U171" i="10" s="1"/>
  <c r="U172" i="10" a="1"/>
  <c r="U172" i="10" s="1"/>
  <c r="U173" i="10" a="1"/>
  <c r="U173" i="10" s="1"/>
  <c r="U174" i="10" a="1"/>
  <c r="U174" i="10" s="1"/>
  <c r="U175" i="10" a="1"/>
  <c r="U175" i="10" s="1"/>
  <c r="U176" i="10" a="1"/>
  <c r="U176" i="10" s="1"/>
  <c r="U177" i="10" a="1"/>
  <c r="U177" i="10" s="1"/>
  <c r="U178" i="10" a="1"/>
  <c r="U178" i="10" s="1"/>
  <c r="U179" i="10" a="1"/>
  <c r="U179" i="10" s="1"/>
  <c r="U180" i="10" a="1"/>
  <c r="U180" i="10" s="1"/>
  <c r="U2" i="10" a="1"/>
  <c r="U2" i="10" s="1"/>
  <c r="T3" i="10" a="1"/>
  <c r="T3" i="10" s="1"/>
  <c r="T4" i="10" a="1"/>
  <c r="T4" i="10" s="1"/>
  <c r="T5" i="10" a="1"/>
  <c r="T5" i="10" s="1"/>
  <c r="T6" i="10" a="1"/>
  <c r="T6" i="10" s="1"/>
  <c r="T7" i="10" a="1"/>
  <c r="T7" i="10" s="1"/>
  <c r="T8" i="10" a="1"/>
  <c r="T8" i="10" s="1"/>
  <c r="T9" i="10" a="1"/>
  <c r="T9" i="10" s="1"/>
  <c r="T10" i="10" a="1"/>
  <c r="T10" i="10" s="1"/>
  <c r="T11" i="10" a="1"/>
  <c r="T11" i="10" s="1"/>
  <c r="T12" i="10" a="1"/>
  <c r="T12" i="10" s="1"/>
  <c r="T13" i="10" a="1"/>
  <c r="T13" i="10" s="1"/>
  <c r="T14" i="10" a="1"/>
  <c r="T14" i="10" s="1"/>
  <c r="T15" i="10" a="1"/>
  <c r="T15" i="10" s="1"/>
  <c r="T16" i="10" a="1"/>
  <c r="T16" i="10" s="1"/>
  <c r="T17" i="10" a="1"/>
  <c r="T17" i="10" s="1"/>
  <c r="T18" i="10" a="1"/>
  <c r="T18" i="10" s="1"/>
  <c r="T19" i="10" a="1"/>
  <c r="T19" i="10" s="1"/>
  <c r="T20" i="10" a="1"/>
  <c r="T20" i="10" s="1"/>
  <c r="T21" i="10" a="1"/>
  <c r="T21" i="10" s="1"/>
  <c r="T22" i="10" a="1"/>
  <c r="T22" i="10" s="1"/>
  <c r="T23" i="10" a="1"/>
  <c r="T23" i="10" s="1"/>
  <c r="T24" i="10" a="1"/>
  <c r="T24" i="10" s="1"/>
  <c r="T25" i="10" a="1"/>
  <c r="T25" i="10" s="1"/>
  <c r="T26" i="10" a="1"/>
  <c r="T26" i="10" s="1"/>
  <c r="T27" i="10" a="1"/>
  <c r="T27" i="10" s="1"/>
  <c r="T28" i="10" a="1"/>
  <c r="T28" i="10" s="1"/>
  <c r="T29" i="10" a="1"/>
  <c r="T29" i="10" s="1"/>
  <c r="T30" i="10" a="1"/>
  <c r="T30" i="10" s="1"/>
  <c r="T31" i="10" a="1"/>
  <c r="T31" i="10" s="1"/>
  <c r="T32" i="10" a="1"/>
  <c r="T32" i="10" s="1"/>
  <c r="T33" i="10" a="1"/>
  <c r="T33" i="10" s="1"/>
  <c r="T34" i="10" a="1"/>
  <c r="T34" i="10" s="1"/>
  <c r="T35" i="10" a="1"/>
  <c r="T35" i="10" s="1"/>
  <c r="T36" i="10" a="1"/>
  <c r="T36" i="10" s="1"/>
  <c r="T37" i="10" a="1"/>
  <c r="T37" i="10" s="1"/>
  <c r="T38" i="10" a="1"/>
  <c r="T38" i="10" s="1"/>
  <c r="T39" i="10" a="1"/>
  <c r="T39" i="10" s="1"/>
  <c r="T40" i="10" a="1"/>
  <c r="T40" i="10" s="1"/>
  <c r="T41" i="10" a="1"/>
  <c r="T41" i="10" s="1"/>
  <c r="T42" i="10" a="1"/>
  <c r="T42" i="10" s="1"/>
  <c r="T43" i="10" a="1"/>
  <c r="T43" i="10" s="1"/>
  <c r="T44" i="10" a="1"/>
  <c r="T44" i="10" s="1"/>
  <c r="T45" i="10" a="1"/>
  <c r="T45" i="10" s="1"/>
  <c r="T46" i="10" a="1"/>
  <c r="T46" i="10" s="1"/>
  <c r="T47" i="10" a="1"/>
  <c r="T47" i="10" s="1"/>
  <c r="T48" i="10" a="1"/>
  <c r="T48" i="10" s="1"/>
  <c r="T49" i="10" a="1"/>
  <c r="T49" i="10" s="1"/>
  <c r="T50" i="10" a="1"/>
  <c r="T50" i="10" s="1"/>
  <c r="T51" i="10" a="1"/>
  <c r="T51" i="10" s="1"/>
  <c r="T52" i="10" a="1"/>
  <c r="T52" i="10" s="1"/>
  <c r="T53" i="10" a="1"/>
  <c r="T53" i="10" s="1"/>
  <c r="T54" i="10" a="1"/>
  <c r="T54" i="10" s="1"/>
  <c r="T55" i="10" a="1"/>
  <c r="T55" i="10" s="1"/>
  <c r="T56" i="10" a="1"/>
  <c r="T56" i="10" s="1"/>
  <c r="T57" i="10" a="1"/>
  <c r="T57" i="10" s="1"/>
  <c r="T58" i="10" a="1"/>
  <c r="T58" i="10" s="1"/>
  <c r="T59" i="10" a="1"/>
  <c r="T59" i="10" s="1"/>
  <c r="T60" i="10" a="1"/>
  <c r="T60" i="10" s="1"/>
  <c r="T61" i="10" a="1"/>
  <c r="T61" i="10" s="1"/>
  <c r="T62" i="10" a="1"/>
  <c r="T62" i="10" s="1"/>
  <c r="T63" i="10" a="1"/>
  <c r="T63" i="10" s="1"/>
  <c r="T64" i="10" a="1"/>
  <c r="T64" i="10" s="1"/>
  <c r="T65" i="10" a="1"/>
  <c r="T65" i="10" s="1"/>
  <c r="T66" i="10" a="1"/>
  <c r="T66" i="10" s="1"/>
  <c r="T67" i="10" a="1"/>
  <c r="T67" i="10" s="1"/>
  <c r="T68" i="10" a="1"/>
  <c r="T68" i="10" s="1"/>
  <c r="T69" i="10" a="1"/>
  <c r="T69" i="10" s="1"/>
  <c r="T70" i="10" a="1"/>
  <c r="T70" i="10" s="1"/>
  <c r="T71" i="10" a="1"/>
  <c r="T71" i="10" s="1"/>
  <c r="T72" i="10" a="1"/>
  <c r="T72" i="10" s="1"/>
  <c r="T73" i="10" a="1"/>
  <c r="T73" i="10" s="1"/>
  <c r="T74" i="10" a="1"/>
  <c r="T74" i="10" s="1"/>
  <c r="T75" i="10" a="1"/>
  <c r="T75" i="10" s="1"/>
  <c r="T76" i="10" a="1"/>
  <c r="T76" i="10" s="1"/>
  <c r="T77" i="10" a="1"/>
  <c r="T77" i="10" s="1"/>
  <c r="T78" i="10" a="1"/>
  <c r="T78" i="10" s="1"/>
  <c r="T79" i="10" a="1"/>
  <c r="T79" i="10" s="1"/>
  <c r="T80" i="10" a="1"/>
  <c r="T80" i="10" s="1"/>
  <c r="T81" i="10" a="1"/>
  <c r="T81" i="10" s="1"/>
  <c r="T82" i="10" a="1"/>
  <c r="T82" i="10" s="1"/>
  <c r="T83" i="10" a="1"/>
  <c r="T83" i="10" s="1"/>
  <c r="T84" i="10" a="1"/>
  <c r="T84" i="10" s="1"/>
  <c r="T85" i="10" a="1"/>
  <c r="T85" i="10" s="1"/>
  <c r="T86" i="10" a="1"/>
  <c r="T86" i="10" s="1"/>
  <c r="T87" i="10" a="1"/>
  <c r="T87" i="10" s="1"/>
  <c r="T88" i="10" a="1"/>
  <c r="T88" i="10" s="1"/>
  <c r="T89" i="10" a="1"/>
  <c r="T89" i="10" s="1"/>
  <c r="T90" i="10" a="1"/>
  <c r="T90" i="10" s="1"/>
  <c r="T91" i="10" a="1"/>
  <c r="T91" i="10" s="1"/>
  <c r="T92" i="10" a="1"/>
  <c r="T92" i="10" s="1"/>
  <c r="T93" i="10" a="1"/>
  <c r="T93" i="10" s="1"/>
  <c r="T94" i="10" a="1"/>
  <c r="T94" i="10" s="1"/>
  <c r="T95" i="10" a="1"/>
  <c r="T95" i="10" s="1"/>
  <c r="T96" i="10" a="1"/>
  <c r="T96" i="10" s="1"/>
  <c r="T97" i="10" a="1"/>
  <c r="T97" i="10" s="1"/>
  <c r="T98" i="10" a="1"/>
  <c r="T98" i="10" s="1"/>
  <c r="T99" i="10" a="1"/>
  <c r="T99" i="10" s="1"/>
  <c r="T100" i="10" a="1"/>
  <c r="T100" i="10" s="1"/>
  <c r="T101" i="10" a="1"/>
  <c r="T101" i="10" s="1"/>
  <c r="T102" i="10" a="1"/>
  <c r="T102" i="10" s="1"/>
  <c r="T103" i="10" a="1"/>
  <c r="T103" i="10" s="1"/>
  <c r="T104" i="10" a="1"/>
  <c r="T104" i="10" s="1"/>
  <c r="T105" i="10" a="1"/>
  <c r="T105" i="10" s="1"/>
  <c r="T106" i="10" a="1"/>
  <c r="T106" i="10" s="1"/>
  <c r="T107" i="10" a="1"/>
  <c r="T107" i="10" s="1"/>
  <c r="T108" i="10" a="1"/>
  <c r="T108" i="10" s="1"/>
  <c r="T109" i="10" a="1"/>
  <c r="T109" i="10" s="1"/>
  <c r="T110" i="10" a="1"/>
  <c r="T110" i="10" s="1"/>
  <c r="T111" i="10" a="1"/>
  <c r="T111" i="10" s="1"/>
  <c r="T112" i="10" a="1"/>
  <c r="T112" i="10" s="1"/>
  <c r="T113" i="10" a="1"/>
  <c r="T113" i="10" s="1"/>
  <c r="T114" i="10" a="1"/>
  <c r="T114" i="10" s="1"/>
  <c r="T115" i="10" a="1"/>
  <c r="T115" i="10" s="1"/>
  <c r="T116" i="10" a="1"/>
  <c r="T116" i="10" s="1"/>
  <c r="T117" i="10" a="1"/>
  <c r="T117" i="10" s="1"/>
  <c r="T118" i="10" a="1"/>
  <c r="T118" i="10" s="1"/>
  <c r="T119" i="10" a="1"/>
  <c r="T119" i="10" s="1"/>
  <c r="T120" i="10" a="1"/>
  <c r="T120" i="10" s="1"/>
  <c r="T121" i="10" a="1"/>
  <c r="T121" i="10" s="1"/>
  <c r="T122" i="10" a="1"/>
  <c r="T122" i="10" s="1"/>
  <c r="T123" i="10" a="1"/>
  <c r="T123" i="10" s="1"/>
  <c r="T124" i="10" a="1"/>
  <c r="T124" i="10" s="1"/>
  <c r="T125" i="10" a="1"/>
  <c r="T125" i="10" s="1"/>
  <c r="T126" i="10" a="1"/>
  <c r="T126" i="10" s="1"/>
  <c r="T127" i="10" a="1"/>
  <c r="T127" i="10" s="1"/>
  <c r="T128" i="10" a="1"/>
  <c r="T128" i="10" s="1"/>
  <c r="T129" i="10" a="1"/>
  <c r="T129" i="10" s="1"/>
  <c r="T130" i="10" a="1"/>
  <c r="T130" i="10" s="1"/>
  <c r="T131" i="10" a="1"/>
  <c r="T131" i="10" s="1"/>
  <c r="T132" i="10" a="1"/>
  <c r="T132" i="10" s="1"/>
  <c r="T133" i="10" a="1"/>
  <c r="T133" i="10" s="1"/>
  <c r="T134" i="10" a="1"/>
  <c r="T134" i="10" s="1"/>
  <c r="T135" i="10" a="1"/>
  <c r="T135" i="10" s="1"/>
  <c r="T136" i="10" a="1"/>
  <c r="T136" i="10" s="1"/>
  <c r="T137" i="10" a="1"/>
  <c r="T137" i="10" s="1"/>
  <c r="T138" i="10" a="1"/>
  <c r="T138" i="10" s="1"/>
  <c r="T139" i="10" a="1"/>
  <c r="T139" i="10" s="1"/>
  <c r="T140" i="10" a="1"/>
  <c r="T140" i="10" s="1"/>
  <c r="T141" i="10" a="1"/>
  <c r="T141" i="10" s="1"/>
  <c r="T142" i="10" a="1"/>
  <c r="T142" i="10" s="1"/>
  <c r="T143" i="10" a="1"/>
  <c r="T143" i="10" s="1"/>
  <c r="T144" i="10" a="1"/>
  <c r="T144" i="10" s="1"/>
  <c r="T145" i="10" a="1"/>
  <c r="T145" i="10" s="1"/>
  <c r="T146" i="10" a="1"/>
  <c r="T146" i="10" s="1"/>
  <c r="T147" i="10" a="1"/>
  <c r="T147" i="10" s="1"/>
  <c r="T148" i="10" a="1"/>
  <c r="T148" i="10" s="1"/>
  <c r="T149" i="10" a="1"/>
  <c r="T149" i="10" s="1"/>
  <c r="T150" i="10" a="1"/>
  <c r="T150" i="10" s="1"/>
  <c r="T151" i="10" a="1"/>
  <c r="T151" i="10" s="1"/>
  <c r="T152" i="10" a="1"/>
  <c r="T152" i="10" s="1"/>
  <c r="T153" i="10" a="1"/>
  <c r="T153" i="10" s="1"/>
  <c r="T154" i="10" a="1"/>
  <c r="T154" i="10" s="1"/>
  <c r="T155" i="10" a="1"/>
  <c r="T155" i="10" s="1"/>
  <c r="T156" i="10" a="1"/>
  <c r="T156" i="10" s="1"/>
  <c r="T157" i="10" a="1"/>
  <c r="T157" i="10" s="1"/>
  <c r="T158" i="10" a="1"/>
  <c r="T158" i="10" s="1"/>
  <c r="T159" i="10" a="1"/>
  <c r="T159" i="10" s="1"/>
  <c r="T160" i="10" a="1"/>
  <c r="T160" i="10" s="1"/>
  <c r="T161" i="10" a="1"/>
  <c r="T161" i="10" s="1"/>
  <c r="T162" i="10" a="1"/>
  <c r="T162" i="10" s="1"/>
  <c r="T163" i="10" a="1"/>
  <c r="T163" i="10" s="1"/>
  <c r="T164" i="10" a="1"/>
  <c r="T164" i="10" s="1"/>
  <c r="T165" i="10" a="1"/>
  <c r="T165" i="10" s="1"/>
  <c r="T166" i="10" a="1"/>
  <c r="T166" i="10" s="1"/>
  <c r="T167" i="10" a="1"/>
  <c r="T167" i="10" s="1"/>
  <c r="T168" i="10" a="1"/>
  <c r="T168" i="10" s="1"/>
  <c r="T169" i="10" a="1"/>
  <c r="T169" i="10" s="1"/>
  <c r="T170" i="10" a="1"/>
  <c r="T170" i="10" s="1"/>
  <c r="T171" i="10" a="1"/>
  <c r="T171" i="10" s="1"/>
  <c r="T172" i="10" a="1"/>
  <c r="T172" i="10" s="1"/>
  <c r="T173" i="10" a="1"/>
  <c r="T173" i="10" s="1"/>
  <c r="T174" i="10" a="1"/>
  <c r="T174" i="10" s="1"/>
  <c r="T175" i="10" a="1"/>
  <c r="T175" i="10" s="1"/>
  <c r="T176" i="10" a="1"/>
  <c r="T176" i="10" s="1"/>
  <c r="T177" i="10" a="1"/>
  <c r="T177" i="10" s="1"/>
  <c r="T178" i="10" a="1"/>
  <c r="T178" i="10" s="1"/>
  <c r="T179" i="10" a="1"/>
  <c r="T179" i="10" s="1"/>
  <c r="T180" i="10" a="1"/>
  <c r="T180" i="10" s="1"/>
  <c r="T2" i="10" a="1"/>
  <c r="T2" i="10" s="1"/>
  <c r="S3" i="10" a="1"/>
  <c r="S3" i="10" s="1"/>
  <c r="S4" i="10" a="1"/>
  <c r="S4" i="10" s="1"/>
  <c r="S5" i="10" a="1"/>
  <c r="S5" i="10" s="1"/>
  <c r="S6" i="10" a="1"/>
  <c r="S6" i="10" s="1"/>
  <c r="S7" i="10" a="1"/>
  <c r="S7" i="10" s="1"/>
  <c r="S8" i="10" a="1"/>
  <c r="S8" i="10" s="1"/>
  <c r="S9" i="10" a="1"/>
  <c r="S9" i="10" s="1"/>
  <c r="S10" i="10" a="1"/>
  <c r="S10" i="10" s="1"/>
  <c r="S11" i="10" a="1"/>
  <c r="S11" i="10" s="1"/>
  <c r="S12" i="10" a="1"/>
  <c r="S12" i="10" s="1"/>
  <c r="S13" i="10" a="1"/>
  <c r="S13" i="10" s="1"/>
  <c r="S14" i="10" a="1"/>
  <c r="S14" i="10" s="1"/>
  <c r="S15" i="10" a="1"/>
  <c r="S15" i="10" s="1"/>
  <c r="S16" i="10" a="1"/>
  <c r="S16" i="10" s="1"/>
  <c r="S17" i="10" a="1"/>
  <c r="S17" i="10" s="1"/>
  <c r="S18" i="10" a="1"/>
  <c r="S18" i="10" s="1"/>
  <c r="S19" i="10" a="1"/>
  <c r="S19" i="10" s="1"/>
  <c r="S20" i="10" a="1"/>
  <c r="S20" i="10" s="1"/>
  <c r="S21" i="10" a="1"/>
  <c r="S21" i="10" s="1"/>
  <c r="S22" i="10" a="1"/>
  <c r="S22" i="10" s="1"/>
  <c r="S23" i="10" a="1"/>
  <c r="S23" i="10" s="1"/>
  <c r="S24" i="10" a="1"/>
  <c r="S24" i="10" s="1"/>
  <c r="S25" i="10" a="1"/>
  <c r="S25" i="10" s="1"/>
  <c r="S26" i="10" a="1"/>
  <c r="S26" i="10" s="1"/>
  <c r="S27" i="10" a="1"/>
  <c r="S27" i="10" s="1"/>
  <c r="S28" i="10" a="1"/>
  <c r="S28" i="10" s="1"/>
  <c r="S29" i="10" a="1"/>
  <c r="S29" i="10" s="1"/>
  <c r="S30" i="10" a="1"/>
  <c r="S30" i="10" s="1"/>
  <c r="S31" i="10" a="1"/>
  <c r="S31" i="10" s="1"/>
  <c r="S32" i="10" a="1"/>
  <c r="S32" i="10" s="1"/>
  <c r="S33" i="10" a="1"/>
  <c r="S33" i="10" s="1"/>
  <c r="S34" i="10" a="1"/>
  <c r="S34" i="10" s="1"/>
  <c r="S35" i="10" a="1"/>
  <c r="S35" i="10" s="1"/>
  <c r="S36" i="10" a="1"/>
  <c r="S36" i="10" s="1"/>
  <c r="S37" i="10" a="1"/>
  <c r="S37" i="10" s="1"/>
  <c r="S38" i="10" a="1"/>
  <c r="S38" i="10" s="1"/>
  <c r="S39" i="10" a="1"/>
  <c r="S39" i="10" s="1"/>
  <c r="S40" i="10" a="1"/>
  <c r="S40" i="10" s="1"/>
  <c r="S41" i="10" a="1"/>
  <c r="S41" i="10" s="1"/>
  <c r="S42" i="10" a="1"/>
  <c r="S42" i="10" s="1"/>
  <c r="S43" i="10" a="1"/>
  <c r="S43" i="10" s="1"/>
  <c r="S44" i="10" a="1"/>
  <c r="S44" i="10" s="1"/>
  <c r="S45" i="10" a="1"/>
  <c r="S45" i="10" s="1"/>
  <c r="S46" i="10" a="1"/>
  <c r="S46" i="10" s="1"/>
  <c r="S47" i="10" a="1"/>
  <c r="S47" i="10" s="1"/>
  <c r="S48" i="10" a="1"/>
  <c r="S48" i="10" s="1"/>
  <c r="S49" i="10" a="1"/>
  <c r="S49" i="10" s="1"/>
  <c r="S50" i="10" a="1"/>
  <c r="S50" i="10" s="1"/>
  <c r="S51" i="10" a="1"/>
  <c r="S51" i="10" s="1"/>
  <c r="S52" i="10" a="1"/>
  <c r="S52" i="10" s="1"/>
  <c r="S53" i="10" a="1"/>
  <c r="S53" i="10" s="1"/>
  <c r="S54" i="10" a="1"/>
  <c r="S54" i="10" s="1"/>
  <c r="S55" i="10" a="1"/>
  <c r="S55" i="10" s="1"/>
  <c r="S56" i="10" a="1"/>
  <c r="S56" i="10" s="1"/>
  <c r="S57" i="10" a="1"/>
  <c r="S57" i="10" s="1"/>
  <c r="S58" i="10" a="1"/>
  <c r="S58" i="10" s="1"/>
  <c r="S59" i="10" a="1"/>
  <c r="S59" i="10" s="1"/>
  <c r="S60" i="10" a="1"/>
  <c r="S60" i="10" s="1"/>
  <c r="S61" i="10" a="1"/>
  <c r="S61" i="10" s="1"/>
  <c r="S62" i="10" a="1"/>
  <c r="S62" i="10" s="1"/>
  <c r="S63" i="10" a="1"/>
  <c r="S63" i="10" s="1"/>
  <c r="S64" i="10" a="1"/>
  <c r="S64" i="10" s="1"/>
  <c r="S65" i="10" a="1"/>
  <c r="S65" i="10" s="1"/>
  <c r="S66" i="10" a="1"/>
  <c r="S66" i="10" s="1"/>
  <c r="S67" i="10" a="1"/>
  <c r="S67" i="10" s="1"/>
  <c r="S68" i="10" a="1"/>
  <c r="S68" i="10" s="1"/>
  <c r="S69" i="10" a="1"/>
  <c r="S69" i="10" s="1"/>
  <c r="S70" i="10" a="1"/>
  <c r="S70" i="10" s="1"/>
  <c r="S71" i="10" a="1"/>
  <c r="S71" i="10" s="1"/>
  <c r="S72" i="10" a="1"/>
  <c r="S72" i="10" s="1"/>
  <c r="S73" i="10" a="1"/>
  <c r="S73" i="10" s="1"/>
  <c r="S74" i="10" a="1"/>
  <c r="S74" i="10" s="1"/>
  <c r="S75" i="10" a="1"/>
  <c r="S75" i="10" s="1"/>
  <c r="S76" i="10" a="1"/>
  <c r="S76" i="10" s="1"/>
  <c r="S77" i="10" a="1"/>
  <c r="S77" i="10" s="1"/>
  <c r="S78" i="10" a="1"/>
  <c r="S78" i="10" s="1"/>
  <c r="S79" i="10" a="1"/>
  <c r="S79" i="10" s="1"/>
  <c r="S80" i="10" a="1"/>
  <c r="S80" i="10" s="1"/>
  <c r="S81" i="10" a="1"/>
  <c r="S81" i="10" s="1"/>
  <c r="S82" i="10" a="1"/>
  <c r="S82" i="10" s="1"/>
  <c r="S83" i="10" a="1"/>
  <c r="S83" i="10" s="1"/>
  <c r="S84" i="10" a="1"/>
  <c r="S84" i="10" s="1"/>
  <c r="S85" i="10" a="1"/>
  <c r="S85" i="10" s="1"/>
  <c r="S86" i="10" a="1"/>
  <c r="S86" i="10" s="1"/>
  <c r="S87" i="10" a="1"/>
  <c r="S87" i="10" s="1"/>
  <c r="S88" i="10" a="1"/>
  <c r="S88" i="10" s="1"/>
  <c r="S89" i="10" a="1"/>
  <c r="S89" i="10" s="1"/>
  <c r="S90" i="10" a="1"/>
  <c r="S90" i="10" s="1"/>
  <c r="S91" i="10" a="1"/>
  <c r="S91" i="10" s="1"/>
  <c r="S92" i="10" a="1"/>
  <c r="S92" i="10" s="1"/>
  <c r="S93" i="10" a="1"/>
  <c r="S93" i="10" s="1"/>
  <c r="S94" i="10" a="1"/>
  <c r="S94" i="10" s="1"/>
  <c r="S95" i="10" a="1"/>
  <c r="S95" i="10" s="1"/>
  <c r="S96" i="10" a="1"/>
  <c r="S96" i="10" s="1"/>
  <c r="S97" i="10" a="1"/>
  <c r="S97" i="10" s="1"/>
  <c r="S98" i="10" a="1"/>
  <c r="S98" i="10" s="1"/>
  <c r="S99" i="10" a="1"/>
  <c r="S99" i="10" s="1"/>
  <c r="S100" i="10" a="1"/>
  <c r="S100" i="10" s="1"/>
  <c r="S101" i="10" a="1"/>
  <c r="S101" i="10" s="1"/>
  <c r="S102" i="10" a="1"/>
  <c r="S102" i="10" s="1"/>
  <c r="S103" i="10" a="1"/>
  <c r="S103" i="10" s="1"/>
  <c r="S104" i="10" a="1"/>
  <c r="S104" i="10" s="1"/>
  <c r="S105" i="10" a="1"/>
  <c r="S105" i="10" s="1"/>
  <c r="S106" i="10" a="1"/>
  <c r="S106" i="10" s="1"/>
  <c r="S107" i="10" a="1"/>
  <c r="S107" i="10" s="1"/>
  <c r="S108" i="10" a="1"/>
  <c r="S108" i="10" s="1"/>
  <c r="S109" i="10" a="1"/>
  <c r="S109" i="10" s="1"/>
  <c r="S110" i="10" a="1"/>
  <c r="S110" i="10" s="1"/>
  <c r="S111" i="10" a="1"/>
  <c r="S111" i="10" s="1"/>
  <c r="S112" i="10" a="1"/>
  <c r="S112" i="10" s="1"/>
  <c r="S113" i="10" a="1"/>
  <c r="S113" i="10" s="1"/>
  <c r="S114" i="10" a="1"/>
  <c r="S114" i="10" s="1"/>
  <c r="S115" i="10" a="1"/>
  <c r="S115" i="10" s="1"/>
  <c r="S116" i="10" a="1"/>
  <c r="S116" i="10" s="1"/>
  <c r="S117" i="10" a="1"/>
  <c r="S117" i="10" s="1"/>
  <c r="S118" i="10" a="1"/>
  <c r="S118" i="10" s="1"/>
  <c r="S119" i="10" a="1"/>
  <c r="S119" i="10" s="1"/>
  <c r="S120" i="10" a="1"/>
  <c r="S120" i="10" s="1"/>
  <c r="S121" i="10" a="1"/>
  <c r="S121" i="10" s="1"/>
  <c r="S122" i="10" a="1"/>
  <c r="S122" i="10" s="1"/>
  <c r="S123" i="10" a="1"/>
  <c r="S123" i="10" s="1"/>
  <c r="S124" i="10" a="1"/>
  <c r="S124" i="10" s="1"/>
  <c r="S125" i="10" a="1"/>
  <c r="S125" i="10" s="1"/>
  <c r="S126" i="10" a="1"/>
  <c r="S126" i="10" s="1"/>
  <c r="S127" i="10" a="1"/>
  <c r="S127" i="10" s="1"/>
  <c r="S128" i="10" a="1"/>
  <c r="S128" i="10" s="1"/>
  <c r="S129" i="10" a="1"/>
  <c r="S129" i="10" s="1"/>
  <c r="S130" i="10" a="1"/>
  <c r="S130" i="10" s="1"/>
  <c r="S131" i="10" a="1"/>
  <c r="S131" i="10" s="1"/>
  <c r="S132" i="10" a="1"/>
  <c r="S132" i="10" s="1"/>
  <c r="S133" i="10" a="1"/>
  <c r="S133" i="10" s="1"/>
  <c r="S134" i="10" a="1"/>
  <c r="S134" i="10" s="1"/>
  <c r="S135" i="10" a="1"/>
  <c r="S135" i="10" s="1"/>
  <c r="S136" i="10" a="1"/>
  <c r="S136" i="10" s="1"/>
  <c r="S137" i="10" a="1"/>
  <c r="S137" i="10" s="1"/>
  <c r="S138" i="10" a="1"/>
  <c r="S138" i="10" s="1"/>
  <c r="S139" i="10" a="1"/>
  <c r="S139" i="10" s="1"/>
  <c r="S140" i="10" a="1"/>
  <c r="S140" i="10" s="1"/>
  <c r="S141" i="10" a="1"/>
  <c r="S141" i="10" s="1"/>
  <c r="S142" i="10" a="1"/>
  <c r="S142" i="10" s="1"/>
  <c r="S143" i="10" a="1"/>
  <c r="S143" i="10" s="1"/>
  <c r="S144" i="10" a="1"/>
  <c r="S144" i="10" s="1"/>
  <c r="S145" i="10" a="1"/>
  <c r="S145" i="10" s="1"/>
  <c r="S146" i="10" a="1"/>
  <c r="S146" i="10" s="1"/>
  <c r="S147" i="10" a="1"/>
  <c r="S147" i="10" s="1"/>
  <c r="S148" i="10" a="1"/>
  <c r="S148" i="10" s="1"/>
  <c r="S149" i="10" a="1"/>
  <c r="S149" i="10" s="1"/>
  <c r="S150" i="10" a="1"/>
  <c r="S150" i="10" s="1"/>
  <c r="S151" i="10" a="1"/>
  <c r="S151" i="10" s="1"/>
  <c r="S152" i="10" a="1"/>
  <c r="S152" i="10" s="1"/>
  <c r="S153" i="10" a="1"/>
  <c r="S153" i="10" s="1"/>
  <c r="S154" i="10" a="1"/>
  <c r="S154" i="10" s="1"/>
  <c r="S155" i="10" a="1"/>
  <c r="S155" i="10" s="1"/>
  <c r="S156" i="10" a="1"/>
  <c r="S156" i="10" s="1"/>
  <c r="S157" i="10" a="1"/>
  <c r="S157" i="10" s="1"/>
  <c r="S158" i="10" a="1"/>
  <c r="S158" i="10" s="1"/>
  <c r="S159" i="10" a="1"/>
  <c r="S159" i="10" s="1"/>
  <c r="S160" i="10" a="1"/>
  <c r="S160" i="10" s="1"/>
  <c r="S161" i="10" a="1"/>
  <c r="S161" i="10" s="1"/>
  <c r="S162" i="10" a="1"/>
  <c r="S162" i="10" s="1"/>
  <c r="S163" i="10" a="1"/>
  <c r="S163" i="10" s="1"/>
  <c r="S164" i="10" a="1"/>
  <c r="S164" i="10" s="1"/>
  <c r="S165" i="10" a="1"/>
  <c r="S165" i="10" s="1"/>
  <c r="S166" i="10" a="1"/>
  <c r="S166" i="10" s="1"/>
  <c r="S167" i="10" a="1"/>
  <c r="S167" i="10" s="1"/>
  <c r="S168" i="10" a="1"/>
  <c r="S168" i="10" s="1"/>
  <c r="S169" i="10" a="1"/>
  <c r="S169" i="10" s="1"/>
  <c r="S170" i="10" a="1"/>
  <c r="S170" i="10" s="1"/>
  <c r="S171" i="10" a="1"/>
  <c r="S171" i="10" s="1"/>
  <c r="S172" i="10" a="1"/>
  <c r="S172" i="10" s="1"/>
  <c r="S173" i="10" a="1"/>
  <c r="S173" i="10" s="1"/>
  <c r="S174" i="10" a="1"/>
  <c r="S174" i="10" s="1"/>
  <c r="S175" i="10" a="1"/>
  <c r="S175" i="10" s="1"/>
  <c r="S176" i="10" a="1"/>
  <c r="S176" i="10" s="1"/>
  <c r="S177" i="10" a="1"/>
  <c r="S177" i="10" s="1"/>
  <c r="S178" i="10" a="1"/>
  <c r="S178" i="10" s="1"/>
  <c r="S179" i="10" a="1"/>
  <c r="S179" i="10" s="1"/>
  <c r="S180" i="10" a="1"/>
  <c r="S180" i="10" s="1"/>
  <c r="S2" i="10" a="1"/>
  <c r="S2" i="10" s="1"/>
  <c r="R3" i="10" a="1"/>
  <c r="R3" i="10" s="1"/>
  <c r="R4" i="10" a="1"/>
  <c r="R4" i="10" s="1"/>
  <c r="R5" i="10" a="1"/>
  <c r="R5" i="10" s="1"/>
  <c r="R6" i="10" a="1"/>
  <c r="R6" i="10" s="1"/>
  <c r="R7" i="10" a="1"/>
  <c r="R7" i="10" s="1"/>
  <c r="R8" i="10" a="1"/>
  <c r="R8" i="10" s="1"/>
  <c r="R9" i="10" a="1"/>
  <c r="R9" i="10" s="1"/>
  <c r="R10" i="10" a="1"/>
  <c r="R10" i="10" s="1"/>
  <c r="R11" i="10" a="1"/>
  <c r="R11" i="10" s="1"/>
  <c r="R12" i="10" a="1"/>
  <c r="R12" i="10" s="1"/>
  <c r="R13" i="10" a="1"/>
  <c r="R13" i="10" s="1"/>
  <c r="R14" i="10" a="1"/>
  <c r="R14" i="10" s="1"/>
  <c r="R15" i="10" a="1"/>
  <c r="R15" i="10" s="1"/>
  <c r="R16" i="10" a="1"/>
  <c r="R16" i="10" s="1"/>
  <c r="R17" i="10" a="1"/>
  <c r="R17" i="10" s="1"/>
  <c r="R18" i="10" a="1"/>
  <c r="R18" i="10" s="1"/>
  <c r="R19" i="10" a="1"/>
  <c r="R19" i="10" s="1"/>
  <c r="R20" i="10" a="1"/>
  <c r="R20" i="10" s="1"/>
  <c r="R21" i="10" a="1"/>
  <c r="R21" i="10" s="1"/>
  <c r="R22" i="10" a="1"/>
  <c r="R22" i="10" s="1"/>
  <c r="R23" i="10" a="1"/>
  <c r="R23" i="10" s="1"/>
  <c r="R24" i="10" a="1"/>
  <c r="R24" i="10" s="1"/>
  <c r="R25" i="10" a="1"/>
  <c r="R25" i="10" s="1"/>
  <c r="R26" i="10" a="1"/>
  <c r="R26" i="10" s="1"/>
  <c r="R27" i="10" a="1"/>
  <c r="R27" i="10" s="1"/>
  <c r="R28" i="10" a="1"/>
  <c r="R28" i="10" s="1"/>
  <c r="R29" i="10" a="1"/>
  <c r="R29" i="10" s="1"/>
  <c r="R30" i="10" a="1"/>
  <c r="R30" i="10" s="1"/>
  <c r="R31" i="10" a="1"/>
  <c r="R31" i="10" s="1"/>
  <c r="R32" i="10" a="1"/>
  <c r="R32" i="10" s="1"/>
  <c r="R33" i="10" a="1"/>
  <c r="R33" i="10" s="1"/>
  <c r="R34" i="10" a="1"/>
  <c r="R34" i="10" s="1"/>
  <c r="R35" i="10" a="1"/>
  <c r="R35" i="10" s="1"/>
  <c r="R36" i="10" a="1"/>
  <c r="R36" i="10" s="1"/>
  <c r="R37" i="10" a="1"/>
  <c r="R37" i="10" s="1"/>
  <c r="R38" i="10" a="1"/>
  <c r="R38" i="10" s="1"/>
  <c r="R39" i="10" a="1"/>
  <c r="R39" i="10" s="1"/>
  <c r="R40" i="10" a="1"/>
  <c r="R40" i="10" s="1"/>
  <c r="R41" i="10" a="1"/>
  <c r="R41" i="10" s="1"/>
  <c r="R42" i="10" a="1"/>
  <c r="R42" i="10" s="1"/>
  <c r="R43" i="10" a="1"/>
  <c r="R43" i="10" s="1"/>
  <c r="R44" i="10" a="1"/>
  <c r="R44" i="10" s="1"/>
  <c r="R45" i="10" a="1"/>
  <c r="R45" i="10" s="1"/>
  <c r="R46" i="10" a="1"/>
  <c r="R46" i="10" s="1"/>
  <c r="R47" i="10" a="1"/>
  <c r="R47" i="10" s="1"/>
  <c r="R48" i="10" a="1"/>
  <c r="R48" i="10" s="1"/>
  <c r="R49" i="10" a="1"/>
  <c r="R49" i="10" s="1"/>
  <c r="R50" i="10" a="1"/>
  <c r="R50" i="10" s="1"/>
  <c r="R51" i="10" a="1"/>
  <c r="R51" i="10" s="1"/>
  <c r="R52" i="10" a="1"/>
  <c r="R52" i="10" s="1"/>
  <c r="R53" i="10" a="1"/>
  <c r="R53" i="10" s="1"/>
  <c r="R54" i="10" a="1"/>
  <c r="R54" i="10" s="1"/>
  <c r="R55" i="10" a="1"/>
  <c r="R55" i="10" s="1"/>
  <c r="R56" i="10" a="1"/>
  <c r="R56" i="10" s="1"/>
  <c r="R57" i="10" a="1"/>
  <c r="R57" i="10" s="1"/>
  <c r="R58" i="10" a="1"/>
  <c r="R58" i="10" s="1"/>
  <c r="R59" i="10" a="1"/>
  <c r="R59" i="10" s="1"/>
  <c r="R60" i="10" a="1"/>
  <c r="R60" i="10" s="1"/>
  <c r="R61" i="10" a="1"/>
  <c r="R61" i="10" s="1"/>
  <c r="R62" i="10" a="1"/>
  <c r="R62" i="10" s="1"/>
  <c r="R63" i="10" a="1"/>
  <c r="R63" i="10" s="1"/>
  <c r="R64" i="10" a="1"/>
  <c r="R64" i="10" s="1"/>
  <c r="R65" i="10" a="1"/>
  <c r="R65" i="10" s="1"/>
  <c r="R66" i="10" a="1"/>
  <c r="R66" i="10" s="1"/>
  <c r="R67" i="10" a="1"/>
  <c r="R67" i="10" s="1"/>
  <c r="R68" i="10" a="1"/>
  <c r="R68" i="10" s="1"/>
  <c r="R69" i="10" a="1"/>
  <c r="R69" i="10" s="1"/>
  <c r="R70" i="10" a="1"/>
  <c r="R70" i="10" s="1"/>
  <c r="R71" i="10" a="1"/>
  <c r="R71" i="10" s="1"/>
  <c r="R72" i="10" a="1"/>
  <c r="R72" i="10" s="1"/>
  <c r="R73" i="10" a="1"/>
  <c r="R73" i="10" s="1"/>
  <c r="R74" i="10" a="1"/>
  <c r="R74" i="10" s="1"/>
  <c r="R75" i="10" a="1"/>
  <c r="R75" i="10" s="1"/>
  <c r="R76" i="10" a="1"/>
  <c r="R76" i="10" s="1"/>
  <c r="R77" i="10" a="1"/>
  <c r="R77" i="10" s="1"/>
  <c r="R78" i="10" a="1"/>
  <c r="R78" i="10" s="1"/>
  <c r="R79" i="10" a="1"/>
  <c r="R79" i="10" s="1"/>
  <c r="R80" i="10" a="1"/>
  <c r="R80" i="10" s="1"/>
  <c r="R81" i="10" a="1"/>
  <c r="R81" i="10" s="1"/>
  <c r="R82" i="10" a="1"/>
  <c r="R82" i="10" s="1"/>
  <c r="R83" i="10" a="1"/>
  <c r="R83" i="10" s="1"/>
  <c r="R84" i="10" a="1"/>
  <c r="R84" i="10" s="1"/>
  <c r="R85" i="10" a="1"/>
  <c r="R85" i="10" s="1"/>
  <c r="R86" i="10" a="1"/>
  <c r="R86" i="10" s="1"/>
  <c r="R87" i="10" a="1"/>
  <c r="R87" i="10" s="1"/>
  <c r="R88" i="10" a="1"/>
  <c r="R88" i="10" s="1"/>
  <c r="R89" i="10" a="1"/>
  <c r="R89" i="10" s="1"/>
  <c r="R90" i="10" a="1"/>
  <c r="R90" i="10" s="1"/>
  <c r="R91" i="10" a="1"/>
  <c r="R91" i="10" s="1"/>
  <c r="R92" i="10" a="1"/>
  <c r="R92" i="10" s="1"/>
  <c r="R93" i="10" a="1"/>
  <c r="R93" i="10" s="1"/>
  <c r="R94" i="10" a="1"/>
  <c r="R94" i="10" s="1"/>
  <c r="R95" i="10" a="1"/>
  <c r="R95" i="10" s="1"/>
  <c r="R96" i="10" a="1"/>
  <c r="R96" i="10" s="1"/>
  <c r="R97" i="10" a="1"/>
  <c r="R97" i="10" s="1"/>
  <c r="R98" i="10" a="1"/>
  <c r="R98" i="10" s="1"/>
  <c r="R99" i="10" a="1"/>
  <c r="R99" i="10" s="1"/>
  <c r="R100" i="10" a="1"/>
  <c r="R100" i="10" s="1"/>
  <c r="R101" i="10" a="1"/>
  <c r="R101" i="10" s="1"/>
  <c r="R102" i="10" a="1"/>
  <c r="R102" i="10" s="1"/>
  <c r="R103" i="10" a="1"/>
  <c r="R103" i="10" s="1"/>
  <c r="R104" i="10" a="1"/>
  <c r="R104" i="10" s="1"/>
  <c r="R105" i="10" a="1"/>
  <c r="R105" i="10" s="1"/>
  <c r="R106" i="10" a="1"/>
  <c r="R106" i="10" s="1"/>
  <c r="R107" i="10" a="1"/>
  <c r="R107" i="10" s="1"/>
  <c r="R108" i="10" a="1"/>
  <c r="R108" i="10" s="1"/>
  <c r="R109" i="10" a="1"/>
  <c r="R109" i="10" s="1"/>
  <c r="R110" i="10" a="1"/>
  <c r="R110" i="10" s="1"/>
  <c r="R111" i="10" a="1"/>
  <c r="R111" i="10" s="1"/>
  <c r="R112" i="10" a="1"/>
  <c r="R112" i="10" s="1"/>
  <c r="R113" i="10" a="1"/>
  <c r="R113" i="10" s="1"/>
  <c r="R114" i="10" a="1"/>
  <c r="R114" i="10" s="1"/>
  <c r="R115" i="10" a="1"/>
  <c r="R115" i="10" s="1"/>
  <c r="R116" i="10" a="1"/>
  <c r="R116" i="10" s="1"/>
  <c r="R117" i="10" a="1"/>
  <c r="R117" i="10" s="1"/>
  <c r="R118" i="10" a="1"/>
  <c r="R118" i="10" s="1"/>
  <c r="R119" i="10" a="1"/>
  <c r="R119" i="10" s="1"/>
  <c r="R120" i="10" a="1"/>
  <c r="R120" i="10" s="1"/>
  <c r="R121" i="10" a="1"/>
  <c r="R121" i="10" s="1"/>
  <c r="R122" i="10" a="1"/>
  <c r="R122" i="10" s="1"/>
  <c r="R123" i="10" a="1"/>
  <c r="R123" i="10" s="1"/>
  <c r="R124" i="10" a="1"/>
  <c r="R124" i="10" s="1"/>
  <c r="R125" i="10" a="1"/>
  <c r="R125" i="10" s="1"/>
  <c r="R126" i="10" a="1"/>
  <c r="R126" i="10" s="1"/>
  <c r="R127" i="10" a="1"/>
  <c r="R127" i="10" s="1"/>
  <c r="R128" i="10" a="1"/>
  <c r="R128" i="10" s="1"/>
  <c r="R129" i="10" a="1"/>
  <c r="R129" i="10" s="1"/>
  <c r="R130" i="10" a="1"/>
  <c r="R130" i="10" s="1"/>
  <c r="R131" i="10" a="1"/>
  <c r="R131" i="10" s="1"/>
  <c r="R132" i="10" a="1"/>
  <c r="R132" i="10" s="1"/>
  <c r="R133" i="10" a="1"/>
  <c r="R133" i="10" s="1"/>
  <c r="R134" i="10" a="1"/>
  <c r="R134" i="10" s="1"/>
  <c r="R135" i="10" a="1"/>
  <c r="R135" i="10" s="1"/>
  <c r="R136" i="10" a="1"/>
  <c r="R136" i="10" s="1"/>
  <c r="R137" i="10" a="1"/>
  <c r="R137" i="10" s="1"/>
  <c r="R138" i="10" a="1"/>
  <c r="R138" i="10" s="1"/>
  <c r="R139" i="10" a="1"/>
  <c r="R139" i="10" s="1"/>
  <c r="R140" i="10" a="1"/>
  <c r="R140" i="10" s="1"/>
  <c r="R141" i="10" a="1"/>
  <c r="R141" i="10" s="1"/>
  <c r="R142" i="10" a="1"/>
  <c r="R142" i="10" s="1"/>
  <c r="R143" i="10" a="1"/>
  <c r="R143" i="10" s="1"/>
  <c r="R144" i="10" a="1"/>
  <c r="R144" i="10" s="1"/>
  <c r="R145" i="10" a="1"/>
  <c r="R145" i="10" s="1"/>
  <c r="R146" i="10" a="1"/>
  <c r="R146" i="10" s="1"/>
  <c r="R147" i="10" a="1"/>
  <c r="R147" i="10" s="1"/>
  <c r="R148" i="10" a="1"/>
  <c r="R148" i="10" s="1"/>
  <c r="R149" i="10" a="1"/>
  <c r="R149" i="10" s="1"/>
  <c r="R150" i="10" a="1"/>
  <c r="R150" i="10" s="1"/>
  <c r="R151" i="10" a="1"/>
  <c r="R151" i="10" s="1"/>
  <c r="R152" i="10" a="1"/>
  <c r="R152" i="10" s="1"/>
  <c r="R153" i="10" a="1"/>
  <c r="R153" i="10" s="1"/>
  <c r="R154" i="10" a="1"/>
  <c r="R154" i="10" s="1"/>
  <c r="R155" i="10" a="1"/>
  <c r="R155" i="10" s="1"/>
  <c r="R156" i="10" a="1"/>
  <c r="R156" i="10" s="1"/>
  <c r="R157" i="10" a="1"/>
  <c r="R157" i="10" s="1"/>
  <c r="R158" i="10" a="1"/>
  <c r="R158" i="10" s="1"/>
  <c r="R159" i="10" a="1"/>
  <c r="R159" i="10" s="1"/>
  <c r="R160" i="10" a="1"/>
  <c r="R160" i="10" s="1"/>
  <c r="R161" i="10" a="1"/>
  <c r="R161" i="10" s="1"/>
  <c r="R162" i="10" a="1"/>
  <c r="R162" i="10" s="1"/>
  <c r="R163" i="10" a="1"/>
  <c r="R163" i="10" s="1"/>
  <c r="R164" i="10" a="1"/>
  <c r="R164" i="10" s="1"/>
  <c r="R165" i="10" a="1"/>
  <c r="R165" i="10" s="1"/>
  <c r="R166" i="10" a="1"/>
  <c r="R166" i="10" s="1"/>
  <c r="R167" i="10" a="1"/>
  <c r="R167" i="10" s="1"/>
  <c r="R168" i="10" a="1"/>
  <c r="R168" i="10" s="1"/>
  <c r="R169" i="10" a="1"/>
  <c r="R169" i="10" s="1"/>
  <c r="R170" i="10" a="1"/>
  <c r="R170" i="10" s="1"/>
  <c r="R171" i="10" a="1"/>
  <c r="R171" i="10" s="1"/>
  <c r="R172" i="10" a="1"/>
  <c r="R172" i="10" s="1"/>
  <c r="R173" i="10" a="1"/>
  <c r="R173" i="10" s="1"/>
  <c r="R174" i="10" a="1"/>
  <c r="R174" i="10" s="1"/>
  <c r="R175" i="10" a="1"/>
  <c r="R175" i="10" s="1"/>
  <c r="R176" i="10" a="1"/>
  <c r="R176" i="10" s="1"/>
  <c r="R177" i="10" a="1"/>
  <c r="R177" i="10" s="1"/>
  <c r="R178" i="10" a="1"/>
  <c r="R178" i="10" s="1"/>
  <c r="R179" i="10" a="1"/>
  <c r="R179" i="10" s="1"/>
  <c r="R180" i="10" a="1"/>
  <c r="R180" i="10" s="1"/>
  <c r="R2" i="10" a="1"/>
  <c r="R2" i="10" s="1"/>
  <c r="Q3" i="10" a="1"/>
  <c r="Q3" i="10" s="1"/>
  <c r="Q4" i="10" a="1"/>
  <c r="Q4" i="10" s="1"/>
  <c r="Q5" i="10" a="1"/>
  <c r="Q5" i="10" s="1"/>
  <c r="Q6" i="10" a="1"/>
  <c r="Q6" i="10" s="1"/>
  <c r="Q7" i="10" a="1"/>
  <c r="Q7" i="10" s="1"/>
  <c r="Q8" i="10" a="1"/>
  <c r="Q8" i="10" s="1"/>
  <c r="Q9" i="10" a="1"/>
  <c r="Q9" i="10" s="1"/>
  <c r="Q10" i="10" a="1"/>
  <c r="Q10" i="10" s="1"/>
  <c r="Q11" i="10" a="1"/>
  <c r="Q11" i="10" s="1"/>
  <c r="Q12" i="10" a="1"/>
  <c r="Q12" i="10" s="1"/>
  <c r="Q13" i="10" a="1"/>
  <c r="Q13" i="10" s="1"/>
  <c r="Q14" i="10" a="1"/>
  <c r="Q14" i="10" s="1"/>
  <c r="Q15" i="10" a="1"/>
  <c r="Q15" i="10" s="1"/>
  <c r="Q16" i="10" a="1"/>
  <c r="Q16" i="10" s="1"/>
  <c r="Q17" i="10" a="1"/>
  <c r="Q17" i="10" s="1"/>
  <c r="Q18" i="10" a="1"/>
  <c r="Q18" i="10" s="1"/>
  <c r="Q19" i="10" a="1"/>
  <c r="Q19" i="10" s="1"/>
  <c r="Q20" i="10" a="1"/>
  <c r="Q20" i="10" s="1"/>
  <c r="Q21" i="10" a="1"/>
  <c r="Q21" i="10" s="1"/>
  <c r="Q22" i="10" a="1"/>
  <c r="Q22" i="10" s="1"/>
  <c r="Q23" i="10" a="1"/>
  <c r="Q23" i="10" s="1"/>
  <c r="Q24" i="10" a="1"/>
  <c r="Q24" i="10" s="1"/>
  <c r="Q25" i="10" a="1"/>
  <c r="Q25" i="10" s="1"/>
  <c r="Q26" i="10" a="1"/>
  <c r="Q26" i="10" s="1"/>
  <c r="Q27" i="10" a="1"/>
  <c r="Q27" i="10" s="1"/>
  <c r="Q28" i="10" a="1"/>
  <c r="Q28" i="10" s="1"/>
  <c r="Q29" i="10" a="1"/>
  <c r="Q29" i="10" s="1"/>
  <c r="Q30" i="10" a="1"/>
  <c r="Q30" i="10" s="1"/>
  <c r="Q31" i="10" a="1"/>
  <c r="Q31" i="10" s="1"/>
  <c r="Q32" i="10" a="1"/>
  <c r="Q32" i="10" s="1"/>
  <c r="Q33" i="10" a="1"/>
  <c r="Q33" i="10" s="1"/>
  <c r="Q34" i="10" a="1"/>
  <c r="Q34" i="10" s="1"/>
  <c r="Q35" i="10" a="1"/>
  <c r="Q35" i="10" s="1"/>
  <c r="Q36" i="10" a="1"/>
  <c r="Q36" i="10" s="1"/>
  <c r="Q37" i="10" a="1"/>
  <c r="Q37" i="10" s="1"/>
  <c r="Q38" i="10" a="1"/>
  <c r="Q38" i="10" s="1"/>
  <c r="Q39" i="10" a="1"/>
  <c r="Q39" i="10" s="1"/>
  <c r="Q40" i="10" a="1"/>
  <c r="Q40" i="10" s="1"/>
  <c r="Q41" i="10" a="1"/>
  <c r="Q41" i="10" s="1"/>
  <c r="Q42" i="10" a="1"/>
  <c r="Q42" i="10" s="1"/>
  <c r="Q43" i="10" a="1"/>
  <c r="Q43" i="10" s="1"/>
  <c r="Q44" i="10" a="1"/>
  <c r="Q44" i="10" s="1"/>
  <c r="Q45" i="10" a="1"/>
  <c r="Q45" i="10" s="1"/>
  <c r="Q46" i="10" a="1"/>
  <c r="Q46" i="10" s="1"/>
  <c r="Q47" i="10" a="1"/>
  <c r="Q47" i="10" s="1"/>
  <c r="Q48" i="10" a="1"/>
  <c r="Q48" i="10" s="1"/>
  <c r="Q49" i="10" a="1"/>
  <c r="Q49" i="10" s="1"/>
  <c r="Q50" i="10" a="1"/>
  <c r="Q50" i="10" s="1"/>
  <c r="Q51" i="10" a="1"/>
  <c r="Q51" i="10" s="1"/>
  <c r="Q52" i="10" a="1"/>
  <c r="Q52" i="10" s="1"/>
  <c r="Q53" i="10" a="1"/>
  <c r="Q53" i="10" s="1"/>
  <c r="Q54" i="10" a="1"/>
  <c r="Q54" i="10" s="1"/>
  <c r="Q55" i="10" a="1"/>
  <c r="Q55" i="10" s="1"/>
  <c r="Q56" i="10" a="1"/>
  <c r="Q56" i="10" s="1"/>
  <c r="Q57" i="10" a="1"/>
  <c r="Q57" i="10" s="1"/>
  <c r="Q58" i="10" a="1"/>
  <c r="Q58" i="10" s="1"/>
  <c r="Q59" i="10" a="1"/>
  <c r="Q59" i="10" s="1"/>
  <c r="Q60" i="10" a="1"/>
  <c r="Q60" i="10" s="1"/>
  <c r="Q61" i="10" a="1"/>
  <c r="Q61" i="10" s="1"/>
  <c r="Q62" i="10" a="1"/>
  <c r="Q62" i="10" s="1"/>
  <c r="Q63" i="10" a="1"/>
  <c r="Q63" i="10" s="1"/>
  <c r="Q64" i="10" a="1"/>
  <c r="Q64" i="10" s="1"/>
  <c r="Q65" i="10" a="1"/>
  <c r="Q65" i="10" s="1"/>
  <c r="Q66" i="10" a="1"/>
  <c r="Q66" i="10" s="1"/>
  <c r="Q67" i="10" a="1"/>
  <c r="Q67" i="10" s="1"/>
  <c r="Q68" i="10" a="1"/>
  <c r="Q68" i="10" s="1"/>
  <c r="Q69" i="10" a="1"/>
  <c r="Q69" i="10" s="1"/>
  <c r="Q70" i="10" a="1"/>
  <c r="Q70" i="10" s="1"/>
  <c r="Q71" i="10" a="1"/>
  <c r="Q71" i="10" s="1"/>
  <c r="Q72" i="10" a="1"/>
  <c r="Q72" i="10" s="1"/>
  <c r="Q73" i="10" a="1"/>
  <c r="Q73" i="10" s="1"/>
  <c r="Q74" i="10" a="1"/>
  <c r="Q74" i="10" s="1"/>
  <c r="Q75" i="10" a="1"/>
  <c r="Q75" i="10" s="1"/>
  <c r="Q76" i="10" a="1"/>
  <c r="Q76" i="10" s="1"/>
  <c r="Q77" i="10" a="1"/>
  <c r="Q77" i="10" s="1"/>
  <c r="Q78" i="10" a="1"/>
  <c r="Q78" i="10" s="1"/>
  <c r="Q79" i="10" a="1"/>
  <c r="Q79" i="10" s="1"/>
  <c r="Q80" i="10" a="1"/>
  <c r="Q80" i="10" s="1"/>
  <c r="Q81" i="10" a="1"/>
  <c r="Q81" i="10" s="1"/>
  <c r="Q82" i="10" a="1"/>
  <c r="Q82" i="10" s="1"/>
  <c r="Q83" i="10" a="1"/>
  <c r="Q83" i="10" s="1"/>
  <c r="Q84" i="10" a="1"/>
  <c r="Q84" i="10" s="1"/>
  <c r="Q85" i="10" a="1"/>
  <c r="Q85" i="10" s="1"/>
  <c r="Q86" i="10" a="1"/>
  <c r="Q86" i="10" s="1"/>
  <c r="Q87" i="10" a="1"/>
  <c r="Q87" i="10" s="1"/>
  <c r="Q88" i="10" a="1"/>
  <c r="Q88" i="10" s="1"/>
  <c r="Q89" i="10" a="1"/>
  <c r="Q89" i="10" s="1"/>
  <c r="Q90" i="10" a="1"/>
  <c r="Q90" i="10" s="1"/>
  <c r="Q91" i="10" a="1"/>
  <c r="Q91" i="10" s="1"/>
  <c r="Q92" i="10" a="1"/>
  <c r="Q92" i="10" s="1"/>
  <c r="Q93" i="10" a="1"/>
  <c r="Q93" i="10" s="1"/>
  <c r="Q94" i="10" a="1"/>
  <c r="Q94" i="10" s="1"/>
  <c r="Q95" i="10" a="1"/>
  <c r="Q95" i="10" s="1"/>
  <c r="Q96" i="10" a="1"/>
  <c r="Q96" i="10" s="1"/>
  <c r="Q97" i="10" a="1"/>
  <c r="Q97" i="10" s="1"/>
  <c r="Q98" i="10" a="1"/>
  <c r="Q98" i="10" s="1"/>
  <c r="Q99" i="10" a="1"/>
  <c r="Q99" i="10" s="1"/>
  <c r="Q100" i="10" a="1"/>
  <c r="Q100" i="10" s="1"/>
  <c r="Q101" i="10" a="1"/>
  <c r="Q101" i="10" s="1"/>
  <c r="Q102" i="10" a="1"/>
  <c r="Q102" i="10" s="1"/>
  <c r="Q103" i="10" a="1"/>
  <c r="Q103" i="10" s="1"/>
  <c r="Q104" i="10" a="1"/>
  <c r="Q104" i="10" s="1"/>
  <c r="Q105" i="10" a="1"/>
  <c r="Q105" i="10" s="1"/>
  <c r="Q106" i="10" a="1"/>
  <c r="Q106" i="10" s="1"/>
  <c r="Q107" i="10" a="1"/>
  <c r="Q107" i="10" s="1"/>
  <c r="Q108" i="10" a="1"/>
  <c r="Q108" i="10" s="1"/>
  <c r="Q109" i="10" a="1"/>
  <c r="Q109" i="10" s="1"/>
  <c r="Q110" i="10" a="1"/>
  <c r="Q110" i="10" s="1"/>
  <c r="Q111" i="10" a="1"/>
  <c r="Q111" i="10" s="1"/>
  <c r="Q112" i="10" a="1"/>
  <c r="Q112" i="10" s="1"/>
  <c r="Q113" i="10" a="1"/>
  <c r="Q113" i="10" s="1"/>
  <c r="Q114" i="10" a="1"/>
  <c r="Q114" i="10" s="1"/>
  <c r="Q115" i="10" a="1"/>
  <c r="Q115" i="10" s="1"/>
  <c r="Q116" i="10" a="1"/>
  <c r="Q116" i="10" s="1"/>
  <c r="Q117" i="10" a="1"/>
  <c r="Q117" i="10" s="1"/>
  <c r="Q118" i="10" a="1"/>
  <c r="Q118" i="10" s="1"/>
  <c r="Q119" i="10" a="1"/>
  <c r="Q119" i="10" s="1"/>
  <c r="Q120" i="10" a="1"/>
  <c r="Q120" i="10" s="1"/>
  <c r="Q121" i="10" a="1"/>
  <c r="Q121" i="10" s="1"/>
  <c r="Q122" i="10" a="1"/>
  <c r="Q122" i="10" s="1"/>
  <c r="Q123" i="10" a="1"/>
  <c r="Q123" i="10" s="1"/>
  <c r="Q124" i="10" a="1"/>
  <c r="Q124" i="10" s="1"/>
  <c r="Q125" i="10" a="1"/>
  <c r="Q125" i="10" s="1"/>
  <c r="Q126" i="10" a="1"/>
  <c r="Q126" i="10" s="1"/>
  <c r="Q127" i="10" a="1"/>
  <c r="Q127" i="10" s="1"/>
  <c r="Q128" i="10" a="1"/>
  <c r="Q128" i="10" s="1"/>
  <c r="Q129" i="10" a="1"/>
  <c r="Q129" i="10" s="1"/>
  <c r="Q130" i="10" a="1"/>
  <c r="Q130" i="10" s="1"/>
  <c r="Q131" i="10" a="1"/>
  <c r="Q131" i="10" s="1"/>
  <c r="Q132" i="10" a="1"/>
  <c r="Q132" i="10" s="1"/>
  <c r="Q133" i="10" a="1"/>
  <c r="Q133" i="10" s="1"/>
  <c r="Q134" i="10" a="1"/>
  <c r="Q134" i="10" s="1"/>
  <c r="Q135" i="10" a="1"/>
  <c r="Q135" i="10" s="1"/>
  <c r="Q136" i="10" a="1"/>
  <c r="Q136" i="10" s="1"/>
  <c r="Q137" i="10" a="1"/>
  <c r="Q137" i="10" s="1"/>
  <c r="Q138" i="10" a="1"/>
  <c r="Q138" i="10" s="1"/>
  <c r="Q139" i="10" a="1"/>
  <c r="Q139" i="10" s="1"/>
  <c r="Q140" i="10" a="1"/>
  <c r="Q140" i="10" s="1"/>
  <c r="Q141" i="10" a="1"/>
  <c r="Q141" i="10" s="1"/>
  <c r="Q142" i="10" a="1"/>
  <c r="Q142" i="10" s="1"/>
  <c r="Q143" i="10" a="1"/>
  <c r="Q143" i="10" s="1"/>
  <c r="Q144" i="10" a="1"/>
  <c r="Q144" i="10" s="1"/>
  <c r="Q145" i="10" a="1"/>
  <c r="Q145" i="10" s="1"/>
  <c r="Q146" i="10" a="1"/>
  <c r="Q146" i="10" s="1"/>
  <c r="Q147" i="10" a="1"/>
  <c r="Q147" i="10" s="1"/>
  <c r="Q148" i="10" a="1"/>
  <c r="Q148" i="10" s="1"/>
  <c r="Q149" i="10" a="1"/>
  <c r="Q149" i="10" s="1"/>
  <c r="Q150" i="10" a="1"/>
  <c r="Q150" i="10" s="1"/>
  <c r="Q151" i="10" a="1"/>
  <c r="Q151" i="10" s="1"/>
  <c r="Q152" i="10" a="1"/>
  <c r="Q152" i="10" s="1"/>
  <c r="Q153" i="10" a="1"/>
  <c r="Q153" i="10" s="1"/>
  <c r="Q154" i="10" a="1"/>
  <c r="Q154" i="10" s="1"/>
  <c r="Q155" i="10" a="1"/>
  <c r="Q155" i="10" s="1"/>
  <c r="Q156" i="10" a="1"/>
  <c r="Q156" i="10" s="1"/>
  <c r="Q157" i="10" a="1"/>
  <c r="Q157" i="10" s="1"/>
  <c r="Q158" i="10" a="1"/>
  <c r="Q158" i="10" s="1"/>
  <c r="Q159" i="10" a="1"/>
  <c r="Q159" i="10" s="1"/>
  <c r="Q160" i="10" a="1"/>
  <c r="Q160" i="10" s="1"/>
  <c r="Q161" i="10" a="1"/>
  <c r="Q161" i="10" s="1"/>
  <c r="Q162" i="10" a="1"/>
  <c r="Q162" i="10" s="1"/>
  <c r="Q163" i="10" a="1"/>
  <c r="Q163" i="10" s="1"/>
  <c r="Q164" i="10" a="1"/>
  <c r="Q164" i="10" s="1"/>
  <c r="Q165" i="10" a="1"/>
  <c r="Q165" i="10" s="1"/>
  <c r="Q166" i="10" a="1"/>
  <c r="Q166" i="10" s="1"/>
  <c r="Q167" i="10" a="1"/>
  <c r="Q167" i="10" s="1"/>
  <c r="Q168" i="10" a="1"/>
  <c r="Q168" i="10" s="1"/>
  <c r="Q169" i="10" a="1"/>
  <c r="Q169" i="10" s="1"/>
  <c r="Q170" i="10" a="1"/>
  <c r="Q170" i="10" s="1"/>
  <c r="Q171" i="10" a="1"/>
  <c r="Q171" i="10" s="1"/>
  <c r="Q172" i="10" a="1"/>
  <c r="Q172" i="10" s="1"/>
  <c r="Q173" i="10" a="1"/>
  <c r="Q173" i="10" s="1"/>
  <c r="Q174" i="10" a="1"/>
  <c r="Q174" i="10" s="1"/>
  <c r="Q175" i="10" a="1"/>
  <c r="Q175" i="10" s="1"/>
  <c r="Q176" i="10" a="1"/>
  <c r="Q176" i="10" s="1"/>
  <c r="Q177" i="10" a="1"/>
  <c r="Q177" i="10" s="1"/>
  <c r="Q178" i="10" a="1"/>
  <c r="Q178" i="10" s="1"/>
  <c r="Q179" i="10" a="1"/>
  <c r="Q179" i="10" s="1"/>
  <c r="Q180" i="10" a="1"/>
  <c r="Q180" i="10" s="1"/>
  <c r="Q2" i="10" a="1"/>
  <c r="Q2" i="10" s="1"/>
  <c r="P3" i="10" a="1"/>
  <c r="P3" i="10" s="1"/>
  <c r="P4" i="10" a="1"/>
  <c r="P4" i="10" s="1"/>
  <c r="P5" i="10" a="1"/>
  <c r="P5" i="10" s="1"/>
  <c r="P6" i="10" a="1"/>
  <c r="P6" i="10" s="1"/>
  <c r="P7" i="10" a="1"/>
  <c r="P7" i="10" s="1"/>
  <c r="P8" i="10" a="1"/>
  <c r="P8" i="10" s="1"/>
  <c r="P9" i="10" a="1"/>
  <c r="P9" i="10" s="1"/>
  <c r="P10" i="10" a="1"/>
  <c r="P10" i="10" s="1"/>
  <c r="P11" i="10" a="1"/>
  <c r="P11" i="10" s="1"/>
  <c r="P12" i="10" a="1"/>
  <c r="P12" i="10" s="1"/>
  <c r="P13" i="10" a="1"/>
  <c r="P13" i="10" s="1"/>
  <c r="P14" i="10" a="1"/>
  <c r="P14" i="10" s="1"/>
  <c r="P15" i="10" a="1"/>
  <c r="P15" i="10" s="1"/>
  <c r="P16" i="10" a="1"/>
  <c r="P16" i="10" s="1"/>
  <c r="P17" i="10" a="1"/>
  <c r="P17" i="10" s="1"/>
  <c r="P18" i="10" a="1"/>
  <c r="P18" i="10" s="1"/>
  <c r="P19" i="10" a="1"/>
  <c r="P19" i="10" s="1"/>
  <c r="P20" i="10" a="1"/>
  <c r="P20" i="10" s="1"/>
  <c r="P21" i="10" a="1"/>
  <c r="P21" i="10" s="1"/>
  <c r="P22" i="10" a="1"/>
  <c r="P22" i="10" s="1"/>
  <c r="P23" i="10" a="1"/>
  <c r="P23" i="10" s="1"/>
  <c r="P24" i="10" a="1"/>
  <c r="P24" i="10" s="1"/>
  <c r="P25" i="10" a="1"/>
  <c r="P25" i="10" s="1"/>
  <c r="P26" i="10" a="1"/>
  <c r="P26" i="10" s="1"/>
  <c r="P27" i="10" a="1"/>
  <c r="P27" i="10" s="1"/>
  <c r="P28" i="10" a="1"/>
  <c r="P28" i="10" s="1"/>
  <c r="P29" i="10" a="1"/>
  <c r="P29" i="10" s="1"/>
  <c r="P30" i="10" a="1"/>
  <c r="P30" i="10" s="1"/>
  <c r="P31" i="10" a="1"/>
  <c r="P31" i="10" s="1"/>
  <c r="P32" i="10" a="1"/>
  <c r="P32" i="10" s="1"/>
  <c r="P33" i="10" a="1"/>
  <c r="P33" i="10" s="1"/>
  <c r="P34" i="10" a="1"/>
  <c r="P34" i="10" s="1"/>
  <c r="P35" i="10" a="1"/>
  <c r="P35" i="10" s="1"/>
  <c r="P36" i="10" a="1"/>
  <c r="P36" i="10" s="1"/>
  <c r="P37" i="10" a="1"/>
  <c r="P37" i="10" s="1"/>
  <c r="P38" i="10" a="1"/>
  <c r="P38" i="10" s="1"/>
  <c r="P39" i="10" a="1"/>
  <c r="P39" i="10" s="1"/>
  <c r="P40" i="10" a="1"/>
  <c r="P40" i="10" s="1"/>
  <c r="P41" i="10" a="1"/>
  <c r="P41" i="10" s="1"/>
  <c r="P42" i="10" a="1"/>
  <c r="P42" i="10" s="1"/>
  <c r="P43" i="10" a="1"/>
  <c r="P43" i="10" s="1"/>
  <c r="P44" i="10" a="1"/>
  <c r="P44" i="10" s="1"/>
  <c r="P45" i="10" a="1"/>
  <c r="P45" i="10" s="1"/>
  <c r="P46" i="10" a="1"/>
  <c r="P46" i="10" s="1"/>
  <c r="P47" i="10" a="1"/>
  <c r="P47" i="10" s="1"/>
  <c r="P48" i="10" a="1"/>
  <c r="P48" i="10" s="1"/>
  <c r="P49" i="10" a="1"/>
  <c r="P49" i="10" s="1"/>
  <c r="P50" i="10" a="1"/>
  <c r="P50" i="10" s="1"/>
  <c r="P51" i="10" a="1"/>
  <c r="P51" i="10" s="1"/>
  <c r="P52" i="10" a="1"/>
  <c r="P52" i="10" s="1"/>
  <c r="P53" i="10" a="1"/>
  <c r="P53" i="10" s="1"/>
  <c r="P54" i="10" a="1"/>
  <c r="P54" i="10" s="1"/>
  <c r="P55" i="10" a="1"/>
  <c r="P55" i="10" s="1"/>
  <c r="P56" i="10" a="1"/>
  <c r="P56" i="10" s="1"/>
  <c r="P57" i="10" a="1"/>
  <c r="P57" i="10" s="1"/>
  <c r="P58" i="10" a="1"/>
  <c r="P58" i="10" s="1"/>
  <c r="P59" i="10" a="1"/>
  <c r="P59" i="10" s="1"/>
  <c r="P60" i="10" a="1"/>
  <c r="P60" i="10" s="1"/>
  <c r="P61" i="10" a="1"/>
  <c r="P61" i="10" s="1"/>
  <c r="P62" i="10" a="1"/>
  <c r="P62" i="10" s="1"/>
  <c r="P63" i="10" a="1"/>
  <c r="P63" i="10" s="1"/>
  <c r="P64" i="10" a="1"/>
  <c r="P64" i="10" s="1"/>
  <c r="P65" i="10" a="1"/>
  <c r="P65" i="10" s="1"/>
  <c r="P66" i="10" a="1"/>
  <c r="P66" i="10" s="1"/>
  <c r="P67" i="10" a="1"/>
  <c r="P67" i="10" s="1"/>
  <c r="P68" i="10" a="1"/>
  <c r="P68" i="10" s="1"/>
  <c r="P69" i="10" a="1"/>
  <c r="P69" i="10" s="1"/>
  <c r="P70" i="10" a="1"/>
  <c r="P70" i="10" s="1"/>
  <c r="P71" i="10" a="1"/>
  <c r="P71" i="10" s="1"/>
  <c r="P72" i="10" a="1"/>
  <c r="P72" i="10" s="1"/>
  <c r="P73" i="10" a="1"/>
  <c r="P73" i="10" s="1"/>
  <c r="P74" i="10" a="1"/>
  <c r="P74" i="10" s="1"/>
  <c r="P75" i="10" a="1"/>
  <c r="P75" i="10" s="1"/>
  <c r="P76" i="10" a="1"/>
  <c r="P76" i="10" s="1"/>
  <c r="P77" i="10" a="1"/>
  <c r="P77" i="10" s="1"/>
  <c r="P78" i="10" a="1"/>
  <c r="P78" i="10" s="1"/>
  <c r="P79" i="10" a="1"/>
  <c r="P79" i="10" s="1"/>
  <c r="P80" i="10" a="1"/>
  <c r="P80" i="10" s="1"/>
  <c r="P81" i="10" a="1"/>
  <c r="P81" i="10" s="1"/>
  <c r="P82" i="10" a="1"/>
  <c r="P82" i="10" s="1"/>
  <c r="P83" i="10" a="1"/>
  <c r="P83" i="10" s="1"/>
  <c r="P84" i="10" a="1"/>
  <c r="P84" i="10" s="1"/>
  <c r="P85" i="10" a="1"/>
  <c r="P85" i="10" s="1"/>
  <c r="P86" i="10" a="1"/>
  <c r="P86" i="10" s="1"/>
  <c r="P87" i="10" a="1"/>
  <c r="P87" i="10" s="1"/>
  <c r="P88" i="10" a="1"/>
  <c r="P88" i="10" s="1"/>
  <c r="P89" i="10" a="1"/>
  <c r="P89" i="10" s="1"/>
  <c r="P90" i="10" a="1"/>
  <c r="P90" i="10" s="1"/>
  <c r="P91" i="10" a="1"/>
  <c r="P91" i="10" s="1"/>
  <c r="P92" i="10" a="1"/>
  <c r="P92" i="10" s="1"/>
  <c r="P93" i="10" a="1"/>
  <c r="P93" i="10" s="1"/>
  <c r="P94" i="10" a="1"/>
  <c r="P94" i="10" s="1"/>
  <c r="P95" i="10" a="1"/>
  <c r="P95" i="10" s="1"/>
  <c r="P96" i="10" a="1"/>
  <c r="P96" i="10" s="1"/>
  <c r="P97" i="10" a="1"/>
  <c r="P97" i="10" s="1"/>
  <c r="P98" i="10" a="1"/>
  <c r="P98" i="10" s="1"/>
  <c r="P99" i="10" a="1"/>
  <c r="P99" i="10" s="1"/>
  <c r="P100" i="10" a="1"/>
  <c r="P100" i="10" s="1"/>
  <c r="P101" i="10" a="1"/>
  <c r="P101" i="10" s="1"/>
  <c r="P102" i="10" a="1"/>
  <c r="P102" i="10" s="1"/>
  <c r="P103" i="10" a="1"/>
  <c r="P103" i="10" s="1"/>
  <c r="P104" i="10" a="1"/>
  <c r="P104" i="10" s="1"/>
  <c r="P105" i="10" a="1"/>
  <c r="P105" i="10" s="1"/>
  <c r="P106" i="10" a="1"/>
  <c r="P106" i="10" s="1"/>
  <c r="P107" i="10" a="1"/>
  <c r="P107" i="10" s="1"/>
  <c r="P108" i="10" a="1"/>
  <c r="P108" i="10" s="1"/>
  <c r="P109" i="10" a="1"/>
  <c r="P109" i="10" s="1"/>
  <c r="P110" i="10" a="1"/>
  <c r="P110" i="10" s="1"/>
  <c r="P111" i="10" a="1"/>
  <c r="P111" i="10" s="1"/>
  <c r="P112" i="10" a="1"/>
  <c r="P112" i="10" s="1"/>
  <c r="P113" i="10" a="1"/>
  <c r="P113" i="10" s="1"/>
  <c r="P114" i="10" a="1"/>
  <c r="P114" i="10" s="1"/>
  <c r="P115" i="10" a="1"/>
  <c r="P115" i="10" s="1"/>
  <c r="P116" i="10" a="1"/>
  <c r="P116" i="10" s="1"/>
  <c r="P117" i="10" a="1"/>
  <c r="P117" i="10" s="1"/>
  <c r="P118" i="10" a="1"/>
  <c r="P118" i="10" s="1"/>
  <c r="P119" i="10" a="1"/>
  <c r="P119" i="10" s="1"/>
  <c r="P120" i="10" a="1"/>
  <c r="P120" i="10" s="1"/>
  <c r="P121" i="10" a="1"/>
  <c r="P121" i="10" s="1"/>
  <c r="P122" i="10" a="1"/>
  <c r="P122" i="10" s="1"/>
  <c r="P123" i="10" a="1"/>
  <c r="P123" i="10" s="1"/>
  <c r="P124" i="10" a="1"/>
  <c r="P124" i="10" s="1"/>
  <c r="P125" i="10" a="1"/>
  <c r="P125" i="10" s="1"/>
  <c r="P126" i="10" a="1"/>
  <c r="P126" i="10" s="1"/>
  <c r="P127" i="10" a="1"/>
  <c r="P127" i="10" s="1"/>
  <c r="P128" i="10" a="1"/>
  <c r="P128" i="10" s="1"/>
  <c r="P129" i="10" a="1"/>
  <c r="P129" i="10" s="1"/>
  <c r="P130" i="10" a="1"/>
  <c r="P130" i="10" s="1"/>
  <c r="P131" i="10" a="1"/>
  <c r="P131" i="10" s="1"/>
  <c r="P132" i="10" a="1"/>
  <c r="P132" i="10" s="1"/>
  <c r="P133" i="10" a="1"/>
  <c r="P133" i="10" s="1"/>
  <c r="P134" i="10" a="1"/>
  <c r="P134" i="10" s="1"/>
  <c r="P135" i="10" a="1"/>
  <c r="P135" i="10" s="1"/>
  <c r="P136" i="10" a="1"/>
  <c r="P136" i="10" s="1"/>
  <c r="P137" i="10" a="1"/>
  <c r="P137" i="10" s="1"/>
  <c r="P138" i="10" a="1"/>
  <c r="P138" i="10" s="1"/>
  <c r="P139" i="10" a="1"/>
  <c r="P139" i="10" s="1"/>
  <c r="P140" i="10" a="1"/>
  <c r="P140" i="10" s="1"/>
  <c r="P141" i="10" a="1"/>
  <c r="P141" i="10" s="1"/>
  <c r="P142" i="10" a="1"/>
  <c r="P142" i="10" s="1"/>
  <c r="P143" i="10" a="1"/>
  <c r="P143" i="10" s="1"/>
  <c r="P144" i="10" a="1"/>
  <c r="P144" i="10" s="1"/>
  <c r="P145" i="10" a="1"/>
  <c r="P145" i="10" s="1"/>
  <c r="P146" i="10" a="1"/>
  <c r="P146" i="10" s="1"/>
  <c r="P147" i="10" a="1"/>
  <c r="P147" i="10" s="1"/>
  <c r="P148" i="10" a="1"/>
  <c r="P148" i="10" s="1"/>
  <c r="P149" i="10" a="1"/>
  <c r="P149" i="10" s="1"/>
  <c r="P150" i="10" a="1"/>
  <c r="P150" i="10" s="1"/>
  <c r="P151" i="10" a="1"/>
  <c r="P151" i="10" s="1"/>
  <c r="P152" i="10" a="1"/>
  <c r="P152" i="10" s="1"/>
  <c r="P153" i="10" a="1"/>
  <c r="P153" i="10" s="1"/>
  <c r="P154" i="10" a="1"/>
  <c r="P154" i="10" s="1"/>
  <c r="P155" i="10" a="1"/>
  <c r="P155" i="10" s="1"/>
  <c r="P156" i="10" a="1"/>
  <c r="P156" i="10" s="1"/>
  <c r="P157" i="10" a="1"/>
  <c r="P157" i="10" s="1"/>
  <c r="P158" i="10" a="1"/>
  <c r="P158" i="10" s="1"/>
  <c r="P159" i="10" a="1"/>
  <c r="P159" i="10" s="1"/>
  <c r="P160" i="10" a="1"/>
  <c r="P160" i="10" s="1"/>
  <c r="P161" i="10" a="1"/>
  <c r="P161" i="10" s="1"/>
  <c r="P162" i="10" a="1"/>
  <c r="P162" i="10" s="1"/>
  <c r="P163" i="10" a="1"/>
  <c r="P163" i="10" s="1"/>
  <c r="P164" i="10" a="1"/>
  <c r="P164" i="10" s="1"/>
  <c r="P165" i="10" a="1"/>
  <c r="P165" i="10" s="1"/>
  <c r="P166" i="10" a="1"/>
  <c r="P166" i="10" s="1"/>
  <c r="P167" i="10" a="1"/>
  <c r="P167" i="10" s="1"/>
  <c r="P168" i="10" a="1"/>
  <c r="P168" i="10" s="1"/>
  <c r="P169" i="10" a="1"/>
  <c r="P169" i="10" s="1"/>
  <c r="P170" i="10" a="1"/>
  <c r="P170" i="10" s="1"/>
  <c r="P171" i="10" a="1"/>
  <c r="P171" i="10" s="1"/>
  <c r="P172" i="10" a="1"/>
  <c r="P172" i="10" s="1"/>
  <c r="P173" i="10" a="1"/>
  <c r="P173" i="10" s="1"/>
  <c r="P174" i="10" a="1"/>
  <c r="P174" i="10" s="1"/>
  <c r="P175" i="10" a="1"/>
  <c r="P175" i="10" s="1"/>
  <c r="P176" i="10" a="1"/>
  <c r="P176" i="10" s="1"/>
  <c r="P177" i="10" a="1"/>
  <c r="P177" i="10" s="1"/>
  <c r="P178" i="10" a="1"/>
  <c r="P178" i="10" s="1"/>
  <c r="P179" i="10" a="1"/>
  <c r="P179" i="10" s="1"/>
  <c r="P180" i="10" a="1"/>
  <c r="P180" i="10" s="1"/>
  <c r="P2" i="10" a="1"/>
  <c r="P2" i="10" s="1"/>
  <c r="O3" i="10" a="1"/>
  <c r="O3" i="10" s="1"/>
  <c r="O4" i="10" a="1"/>
  <c r="O4" i="10" s="1"/>
  <c r="O5" i="10" a="1"/>
  <c r="O5" i="10" s="1"/>
  <c r="O6" i="10" a="1"/>
  <c r="O6" i="10" s="1"/>
  <c r="O7" i="10" a="1"/>
  <c r="O7" i="10" s="1"/>
  <c r="O8" i="10" a="1"/>
  <c r="O8" i="10" s="1"/>
  <c r="O9" i="10" a="1"/>
  <c r="O9" i="10" s="1"/>
  <c r="O10" i="10" a="1"/>
  <c r="O10" i="10" s="1"/>
  <c r="O11" i="10" a="1"/>
  <c r="O11" i="10" s="1"/>
  <c r="O12" i="10" a="1"/>
  <c r="O12" i="10" s="1"/>
  <c r="O13" i="10" a="1"/>
  <c r="O13" i="10" s="1"/>
  <c r="O14" i="10" a="1"/>
  <c r="O14" i="10" s="1"/>
  <c r="O15" i="10" a="1"/>
  <c r="O15" i="10" s="1"/>
  <c r="O16" i="10" a="1"/>
  <c r="O16" i="10" s="1"/>
  <c r="O17" i="10" a="1"/>
  <c r="O17" i="10" s="1"/>
  <c r="O18" i="10" a="1"/>
  <c r="O18" i="10" s="1"/>
  <c r="O19" i="10" a="1"/>
  <c r="O19" i="10" s="1"/>
  <c r="O20" i="10" a="1"/>
  <c r="O20" i="10" s="1"/>
  <c r="O21" i="10" a="1"/>
  <c r="O21" i="10" s="1"/>
  <c r="O22" i="10" a="1"/>
  <c r="O22" i="10" s="1"/>
  <c r="O23" i="10" a="1"/>
  <c r="O23" i="10" s="1"/>
  <c r="O24" i="10" a="1"/>
  <c r="O24" i="10" s="1"/>
  <c r="O25" i="10" a="1"/>
  <c r="O25" i="10" s="1"/>
  <c r="O26" i="10" a="1"/>
  <c r="O26" i="10" s="1"/>
  <c r="O27" i="10" a="1"/>
  <c r="O27" i="10" s="1"/>
  <c r="O28" i="10" a="1"/>
  <c r="O28" i="10" s="1"/>
  <c r="O29" i="10" a="1"/>
  <c r="O29" i="10" s="1"/>
  <c r="O30" i="10" a="1"/>
  <c r="O30" i="10" s="1"/>
  <c r="O31" i="10" a="1"/>
  <c r="O31" i="10" s="1"/>
  <c r="O32" i="10" a="1"/>
  <c r="O32" i="10" s="1"/>
  <c r="O33" i="10" a="1"/>
  <c r="O33" i="10" s="1"/>
  <c r="O34" i="10" a="1"/>
  <c r="O34" i="10" s="1"/>
  <c r="O35" i="10" a="1"/>
  <c r="O35" i="10" s="1"/>
  <c r="O36" i="10" a="1"/>
  <c r="O36" i="10" s="1"/>
  <c r="O37" i="10" a="1"/>
  <c r="O37" i="10" s="1"/>
  <c r="O38" i="10" a="1"/>
  <c r="O38" i="10" s="1"/>
  <c r="O39" i="10" a="1"/>
  <c r="O39" i="10" s="1"/>
  <c r="O40" i="10" a="1"/>
  <c r="O40" i="10" s="1"/>
  <c r="O41" i="10" a="1"/>
  <c r="O41" i="10" s="1"/>
  <c r="O42" i="10" a="1"/>
  <c r="O42" i="10" s="1"/>
  <c r="O43" i="10" a="1"/>
  <c r="O43" i="10" s="1"/>
  <c r="O44" i="10" a="1"/>
  <c r="O44" i="10" s="1"/>
  <c r="O45" i="10" a="1"/>
  <c r="O45" i="10" s="1"/>
  <c r="O46" i="10" a="1"/>
  <c r="O46" i="10" s="1"/>
  <c r="O47" i="10" a="1"/>
  <c r="O47" i="10" s="1"/>
  <c r="O48" i="10" a="1"/>
  <c r="O48" i="10" s="1"/>
  <c r="O49" i="10" a="1"/>
  <c r="O49" i="10" s="1"/>
  <c r="O50" i="10" a="1"/>
  <c r="O50" i="10" s="1"/>
  <c r="O51" i="10" a="1"/>
  <c r="O51" i="10" s="1"/>
  <c r="O52" i="10" a="1"/>
  <c r="O52" i="10" s="1"/>
  <c r="O53" i="10" a="1"/>
  <c r="O53" i="10" s="1"/>
  <c r="O54" i="10" a="1"/>
  <c r="O54" i="10" s="1"/>
  <c r="O55" i="10" a="1"/>
  <c r="O55" i="10" s="1"/>
  <c r="O56" i="10" a="1"/>
  <c r="O56" i="10" s="1"/>
  <c r="O57" i="10" a="1"/>
  <c r="O57" i="10" s="1"/>
  <c r="O58" i="10" a="1"/>
  <c r="O58" i="10" s="1"/>
  <c r="O59" i="10" a="1"/>
  <c r="O59" i="10" s="1"/>
  <c r="O60" i="10" a="1"/>
  <c r="O60" i="10" s="1"/>
  <c r="O61" i="10" a="1"/>
  <c r="O61" i="10" s="1"/>
  <c r="O62" i="10" a="1"/>
  <c r="O62" i="10" s="1"/>
  <c r="O63" i="10" a="1"/>
  <c r="O63" i="10" s="1"/>
  <c r="O64" i="10" a="1"/>
  <c r="O64" i="10" s="1"/>
  <c r="O65" i="10" a="1"/>
  <c r="O65" i="10" s="1"/>
  <c r="O66" i="10" a="1"/>
  <c r="O66" i="10" s="1"/>
  <c r="O67" i="10" a="1"/>
  <c r="O67" i="10" s="1"/>
  <c r="O68" i="10" a="1"/>
  <c r="O68" i="10" s="1"/>
  <c r="O69" i="10" a="1"/>
  <c r="O69" i="10" s="1"/>
  <c r="O70" i="10" a="1"/>
  <c r="O70" i="10" s="1"/>
  <c r="O71" i="10" a="1"/>
  <c r="O71" i="10" s="1"/>
  <c r="O72" i="10" a="1"/>
  <c r="O72" i="10" s="1"/>
  <c r="O73" i="10" a="1"/>
  <c r="O73" i="10" s="1"/>
  <c r="O74" i="10" a="1"/>
  <c r="O74" i="10" s="1"/>
  <c r="O75" i="10" a="1"/>
  <c r="O75" i="10" s="1"/>
  <c r="O76" i="10" a="1"/>
  <c r="O76" i="10" s="1"/>
  <c r="O77" i="10" a="1"/>
  <c r="O77" i="10" s="1"/>
  <c r="O78" i="10" a="1"/>
  <c r="O78" i="10" s="1"/>
  <c r="O79" i="10" a="1"/>
  <c r="O79" i="10" s="1"/>
  <c r="O80" i="10" a="1"/>
  <c r="O80" i="10" s="1"/>
  <c r="O81" i="10" a="1"/>
  <c r="O81" i="10" s="1"/>
  <c r="O82" i="10" a="1"/>
  <c r="O82" i="10" s="1"/>
  <c r="O83" i="10" a="1"/>
  <c r="O83" i="10" s="1"/>
  <c r="O84" i="10" a="1"/>
  <c r="O84" i="10" s="1"/>
  <c r="O85" i="10" a="1"/>
  <c r="O85" i="10" s="1"/>
  <c r="O86" i="10" a="1"/>
  <c r="O86" i="10" s="1"/>
  <c r="O87" i="10" a="1"/>
  <c r="O87" i="10" s="1"/>
  <c r="O88" i="10" a="1"/>
  <c r="O88" i="10" s="1"/>
  <c r="O89" i="10" a="1"/>
  <c r="O89" i="10" s="1"/>
  <c r="O90" i="10" a="1"/>
  <c r="O90" i="10" s="1"/>
  <c r="O91" i="10" a="1"/>
  <c r="O91" i="10" s="1"/>
  <c r="O92" i="10" a="1"/>
  <c r="O92" i="10" s="1"/>
  <c r="O93" i="10" a="1"/>
  <c r="O93" i="10" s="1"/>
  <c r="O94" i="10" a="1"/>
  <c r="O94" i="10" s="1"/>
  <c r="O95" i="10" a="1"/>
  <c r="O95" i="10" s="1"/>
  <c r="O96" i="10" a="1"/>
  <c r="O96" i="10" s="1"/>
  <c r="O97" i="10" a="1"/>
  <c r="O97" i="10" s="1"/>
  <c r="O98" i="10" a="1"/>
  <c r="O98" i="10" s="1"/>
  <c r="O99" i="10" a="1"/>
  <c r="O99" i="10" s="1"/>
  <c r="O100" i="10" a="1"/>
  <c r="O100" i="10" s="1"/>
  <c r="O101" i="10" a="1"/>
  <c r="O101" i="10" s="1"/>
  <c r="O102" i="10" a="1"/>
  <c r="O102" i="10" s="1"/>
  <c r="O103" i="10" a="1"/>
  <c r="O103" i="10" s="1"/>
  <c r="O104" i="10" a="1"/>
  <c r="O104" i="10" s="1"/>
  <c r="O105" i="10" a="1"/>
  <c r="O105" i="10" s="1"/>
  <c r="O106" i="10" a="1"/>
  <c r="O106" i="10" s="1"/>
  <c r="O107" i="10" a="1"/>
  <c r="O107" i="10" s="1"/>
  <c r="O108" i="10" a="1"/>
  <c r="O108" i="10" s="1"/>
  <c r="O109" i="10" a="1"/>
  <c r="O109" i="10" s="1"/>
  <c r="O110" i="10" a="1"/>
  <c r="O110" i="10" s="1"/>
  <c r="O111" i="10" a="1"/>
  <c r="O111" i="10" s="1"/>
  <c r="O112" i="10" a="1"/>
  <c r="O112" i="10" s="1"/>
  <c r="O113" i="10" a="1"/>
  <c r="O113" i="10" s="1"/>
  <c r="O114" i="10" a="1"/>
  <c r="O114" i="10" s="1"/>
  <c r="O115" i="10" a="1"/>
  <c r="O115" i="10" s="1"/>
  <c r="O116" i="10" a="1"/>
  <c r="O116" i="10" s="1"/>
  <c r="O117" i="10" a="1"/>
  <c r="O117" i="10" s="1"/>
  <c r="O118" i="10" a="1"/>
  <c r="O118" i="10" s="1"/>
  <c r="O119" i="10" a="1"/>
  <c r="O119" i="10" s="1"/>
  <c r="O120" i="10" a="1"/>
  <c r="O120" i="10" s="1"/>
  <c r="O121" i="10" a="1"/>
  <c r="O121" i="10" s="1"/>
  <c r="O122" i="10" a="1"/>
  <c r="O122" i="10" s="1"/>
  <c r="O123" i="10" a="1"/>
  <c r="O123" i="10" s="1"/>
  <c r="O124" i="10" a="1"/>
  <c r="O124" i="10" s="1"/>
  <c r="O125" i="10" a="1"/>
  <c r="O125" i="10" s="1"/>
  <c r="O126" i="10" a="1"/>
  <c r="O126" i="10" s="1"/>
  <c r="O127" i="10" a="1"/>
  <c r="O127" i="10" s="1"/>
  <c r="O128" i="10" a="1"/>
  <c r="O128" i="10" s="1"/>
  <c r="O129" i="10" a="1"/>
  <c r="O129" i="10" s="1"/>
  <c r="O130" i="10" a="1"/>
  <c r="O130" i="10" s="1"/>
  <c r="O131" i="10" a="1"/>
  <c r="O131" i="10" s="1"/>
  <c r="O132" i="10" a="1"/>
  <c r="O132" i="10" s="1"/>
  <c r="O133" i="10" a="1"/>
  <c r="O133" i="10" s="1"/>
  <c r="O134" i="10" a="1"/>
  <c r="O134" i="10" s="1"/>
  <c r="O135" i="10" a="1"/>
  <c r="O135" i="10" s="1"/>
  <c r="O136" i="10" a="1"/>
  <c r="O136" i="10" s="1"/>
  <c r="O137" i="10" a="1"/>
  <c r="O137" i="10" s="1"/>
  <c r="O138" i="10" a="1"/>
  <c r="O138" i="10" s="1"/>
  <c r="O139" i="10" a="1"/>
  <c r="O139" i="10" s="1"/>
  <c r="O140" i="10" a="1"/>
  <c r="O140" i="10" s="1"/>
  <c r="O141" i="10" a="1"/>
  <c r="O141" i="10" s="1"/>
  <c r="O142" i="10" a="1"/>
  <c r="O142" i="10" s="1"/>
  <c r="O143" i="10" a="1"/>
  <c r="O143" i="10" s="1"/>
  <c r="O144" i="10" a="1"/>
  <c r="O144" i="10" s="1"/>
  <c r="O145" i="10" a="1"/>
  <c r="O145" i="10" s="1"/>
  <c r="O146" i="10" a="1"/>
  <c r="O146" i="10" s="1"/>
  <c r="O147" i="10" a="1"/>
  <c r="O147" i="10" s="1"/>
  <c r="O148" i="10" a="1"/>
  <c r="O148" i="10" s="1"/>
  <c r="O149" i="10" a="1"/>
  <c r="O149" i="10" s="1"/>
  <c r="O150" i="10" a="1"/>
  <c r="O150" i="10" s="1"/>
  <c r="O151" i="10" a="1"/>
  <c r="O151" i="10" s="1"/>
  <c r="O152" i="10" a="1"/>
  <c r="O152" i="10" s="1"/>
  <c r="O153" i="10" a="1"/>
  <c r="O153" i="10" s="1"/>
  <c r="O154" i="10" a="1"/>
  <c r="O154" i="10" s="1"/>
  <c r="O155" i="10" a="1"/>
  <c r="O155" i="10" s="1"/>
  <c r="O156" i="10" a="1"/>
  <c r="O156" i="10" s="1"/>
  <c r="O157" i="10" a="1"/>
  <c r="O157" i="10" s="1"/>
  <c r="O158" i="10" a="1"/>
  <c r="O158" i="10" s="1"/>
  <c r="O159" i="10" a="1"/>
  <c r="O159" i="10" s="1"/>
  <c r="O160" i="10" a="1"/>
  <c r="O160" i="10" s="1"/>
  <c r="O161" i="10" a="1"/>
  <c r="O161" i="10" s="1"/>
  <c r="O162" i="10" a="1"/>
  <c r="O162" i="10" s="1"/>
  <c r="O163" i="10" a="1"/>
  <c r="O163" i="10" s="1"/>
  <c r="O164" i="10" a="1"/>
  <c r="O164" i="10" s="1"/>
  <c r="O165" i="10" a="1"/>
  <c r="O165" i="10" s="1"/>
  <c r="O166" i="10" a="1"/>
  <c r="O166" i="10" s="1"/>
  <c r="O167" i="10" a="1"/>
  <c r="O167" i="10" s="1"/>
  <c r="O168" i="10" a="1"/>
  <c r="O168" i="10" s="1"/>
  <c r="O169" i="10" a="1"/>
  <c r="O169" i="10" s="1"/>
  <c r="O170" i="10" a="1"/>
  <c r="O170" i="10" s="1"/>
  <c r="O171" i="10" a="1"/>
  <c r="O171" i="10" s="1"/>
  <c r="O172" i="10" a="1"/>
  <c r="O172" i="10" s="1"/>
  <c r="O173" i="10" a="1"/>
  <c r="O173" i="10" s="1"/>
  <c r="O174" i="10" a="1"/>
  <c r="O174" i="10" s="1"/>
  <c r="O175" i="10" a="1"/>
  <c r="O175" i="10" s="1"/>
  <c r="O176" i="10" a="1"/>
  <c r="O176" i="10" s="1"/>
  <c r="O177" i="10" a="1"/>
  <c r="O177" i="10" s="1"/>
  <c r="O178" i="10" a="1"/>
  <c r="O178" i="10" s="1"/>
  <c r="O179" i="10" a="1"/>
  <c r="O179" i="10" s="1"/>
  <c r="O180" i="10" a="1"/>
  <c r="O180" i="10" s="1"/>
  <c r="O2" i="10" a="1"/>
  <c r="O2" i="10" s="1"/>
  <c r="N3" i="10" a="1"/>
  <c r="N3" i="10" s="1"/>
  <c r="N4" i="10" a="1"/>
  <c r="N4" i="10" s="1"/>
  <c r="N5" i="10" a="1"/>
  <c r="N5" i="10" s="1"/>
  <c r="N6" i="10" a="1"/>
  <c r="N6" i="10" s="1"/>
  <c r="N7" i="10" a="1"/>
  <c r="N7" i="10" s="1"/>
  <c r="N8" i="10" a="1"/>
  <c r="N8" i="10" s="1"/>
  <c r="N9" i="10" a="1"/>
  <c r="N9" i="10" s="1"/>
  <c r="N10" i="10" a="1"/>
  <c r="N10" i="10" s="1"/>
  <c r="N11" i="10" a="1"/>
  <c r="N11" i="10" s="1"/>
  <c r="N12" i="10" a="1"/>
  <c r="N12" i="10" s="1"/>
  <c r="N13" i="10" a="1"/>
  <c r="N13" i="10" s="1"/>
  <c r="N14" i="10" a="1"/>
  <c r="N14" i="10" s="1"/>
  <c r="N15" i="10" a="1"/>
  <c r="N15" i="10" s="1"/>
  <c r="N16" i="10" a="1"/>
  <c r="N16" i="10" s="1"/>
  <c r="N17" i="10" a="1"/>
  <c r="N17" i="10" s="1"/>
  <c r="N18" i="10" a="1"/>
  <c r="N18" i="10" s="1"/>
  <c r="N19" i="10" a="1"/>
  <c r="N19" i="10" s="1"/>
  <c r="N20" i="10" a="1"/>
  <c r="N20" i="10" s="1"/>
  <c r="N21" i="10" a="1"/>
  <c r="N21" i="10" s="1"/>
  <c r="N22" i="10" a="1"/>
  <c r="N22" i="10" s="1"/>
  <c r="N23" i="10" a="1"/>
  <c r="N23" i="10" s="1"/>
  <c r="N24" i="10" a="1"/>
  <c r="N24" i="10" s="1"/>
  <c r="N25" i="10" a="1"/>
  <c r="N25" i="10" s="1"/>
  <c r="N26" i="10" a="1"/>
  <c r="N26" i="10" s="1"/>
  <c r="N27" i="10" a="1"/>
  <c r="N27" i="10" s="1"/>
  <c r="N28" i="10" a="1"/>
  <c r="N28" i="10" s="1"/>
  <c r="N29" i="10" a="1"/>
  <c r="N29" i="10" s="1"/>
  <c r="N30" i="10" a="1"/>
  <c r="N30" i="10" s="1"/>
  <c r="N31" i="10" a="1"/>
  <c r="N31" i="10" s="1"/>
  <c r="N32" i="10" a="1"/>
  <c r="N32" i="10" s="1"/>
  <c r="N33" i="10" a="1"/>
  <c r="N33" i="10" s="1"/>
  <c r="N34" i="10" a="1"/>
  <c r="N34" i="10" s="1"/>
  <c r="N35" i="10" a="1"/>
  <c r="N35" i="10" s="1"/>
  <c r="N36" i="10" a="1"/>
  <c r="N36" i="10" s="1"/>
  <c r="N37" i="10" a="1"/>
  <c r="N37" i="10" s="1"/>
  <c r="N38" i="10" a="1"/>
  <c r="N38" i="10" s="1"/>
  <c r="N39" i="10" a="1"/>
  <c r="N39" i="10" s="1"/>
  <c r="N40" i="10" a="1"/>
  <c r="N40" i="10" s="1"/>
  <c r="N41" i="10" a="1"/>
  <c r="N41" i="10" s="1"/>
  <c r="N42" i="10" a="1"/>
  <c r="N42" i="10" s="1"/>
  <c r="N43" i="10" a="1"/>
  <c r="N43" i="10" s="1"/>
  <c r="N44" i="10" a="1"/>
  <c r="N44" i="10" s="1"/>
  <c r="N45" i="10" a="1"/>
  <c r="N45" i="10" s="1"/>
  <c r="N46" i="10" a="1"/>
  <c r="N46" i="10" s="1"/>
  <c r="N47" i="10" a="1"/>
  <c r="N47" i="10" s="1"/>
  <c r="N48" i="10" a="1"/>
  <c r="N48" i="10" s="1"/>
  <c r="N49" i="10" a="1"/>
  <c r="N49" i="10" s="1"/>
  <c r="N50" i="10" a="1"/>
  <c r="N50" i="10" s="1"/>
  <c r="N51" i="10" a="1"/>
  <c r="N51" i="10" s="1"/>
  <c r="N52" i="10" a="1"/>
  <c r="N52" i="10" s="1"/>
  <c r="N53" i="10" a="1"/>
  <c r="N53" i="10" s="1"/>
  <c r="N54" i="10" a="1"/>
  <c r="N54" i="10" s="1"/>
  <c r="N55" i="10" a="1"/>
  <c r="N55" i="10" s="1"/>
  <c r="N56" i="10" a="1"/>
  <c r="N56" i="10" s="1"/>
  <c r="N57" i="10" a="1"/>
  <c r="N57" i="10" s="1"/>
  <c r="N58" i="10" a="1"/>
  <c r="N58" i="10" s="1"/>
  <c r="N59" i="10" a="1"/>
  <c r="N59" i="10" s="1"/>
  <c r="N60" i="10" a="1"/>
  <c r="N60" i="10" s="1"/>
  <c r="N61" i="10" a="1"/>
  <c r="N61" i="10" s="1"/>
  <c r="N62" i="10" a="1"/>
  <c r="N62" i="10" s="1"/>
  <c r="N63" i="10" a="1"/>
  <c r="N63" i="10" s="1"/>
  <c r="N64" i="10" a="1"/>
  <c r="N64" i="10" s="1"/>
  <c r="N65" i="10" a="1"/>
  <c r="N65" i="10" s="1"/>
  <c r="N66" i="10" a="1"/>
  <c r="N66" i="10" s="1"/>
  <c r="N67" i="10" a="1"/>
  <c r="N67" i="10" s="1"/>
  <c r="N68" i="10" a="1"/>
  <c r="N68" i="10" s="1"/>
  <c r="N69" i="10" a="1"/>
  <c r="N69" i="10" s="1"/>
  <c r="N70" i="10" a="1"/>
  <c r="N70" i="10" s="1"/>
  <c r="N71" i="10" a="1"/>
  <c r="N71" i="10" s="1"/>
  <c r="N72" i="10" a="1"/>
  <c r="N72" i="10" s="1"/>
  <c r="N73" i="10" a="1"/>
  <c r="N73" i="10" s="1"/>
  <c r="N74" i="10" a="1"/>
  <c r="N74" i="10" s="1"/>
  <c r="N75" i="10" a="1"/>
  <c r="N75" i="10" s="1"/>
  <c r="N76" i="10" a="1"/>
  <c r="N76" i="10" s="1"/>
  <c r="N77" i="10" a="1"/>
  <c r="N77" i="10" s="1"/>
  <c r="N78" i="10" a="1"/>
  <c r="N78" i="10" s="1"/>
  <c r="N79" i="10" a="1"/>
  <c r="N79" i="10" s="1"/>
  <c r="N80" i="10" a="1"/>
  <c r="N80" i="10" s="1"/>
  <c r="N81" i="10" a="1"/>
  <c r="N81" i="10" s="1"/>
  <c r="N82" i="10" a="1"/>
  <c r="N82" i="10" s="1"/>
  <c r="N83" i="10" a="1"/>
  <c r="N83" i="10" s="1"/>
  <c r="N84" i="10" a="1"/>
  <c r="N84" i="10" s="1"/>
  <c r="N85" i="10" a="1"/>
  <c r="N85" i="10" s="1"/>
  <c r="N86" i="10" a="1"/>
  <c r="N86" i="10" s="1"/>
  <c r="N87" i="10" a="1"/>
  <c r="N87" i="10" s="1"/>
  <c r="N88" i="10" a="1"/>
  <c r="N88" i="10" s="1"/>
  <c r="N89" i="10" a="1"/>
  <c r="N89" i="10" s="1"/>
  <c r="N90" i="10" a="1"/>
  <c r="N90" i="10" s="1"/>
  <c r="N91" i="10" a="1"/>
  <c r="N91" i="10" s="1"/>
  <c r="N92" i="10" a="1"/>
  <c r="N92" i="10" s="1"/>
  <c r="N93" i="10" a="1"/>
  <c r="N93" i="10" s="1"/>
  <c r="N94" i="10" a="1"/>
  <c r="N94" i="10" s="1"/>
  <c r="N95" i="10" a="1"/>
  <c r="N95" i="10" s="1"/>
  <c r="N96" i="10" a="1"/>
  <c r="N96" i="10" s="1"/>
  <c r="N97" i="10" a="1"/>
  <c r="N97" i="10" s="1"/>
  <c r="N98" i="10" a="1"/>
  <c r="N98" i="10" s="1"/>
  <c r="N99" i="10" a="1"/>
  <c r="N99" i="10" s="1"/>
  <c r="N100" i="10" a="1"/>
  <c r="N100" i="10" s="1"/>
  <c r="N101" i="10" a="1"/>
  <c r="N101" i="10" s="1"/>
  <c r="N102" i="10" a="1"/>
  <c r="N102" i="10" s="1"/>
  <c r="N103" i="10" a="1"/>
  <c r="N103" i="10" s="1"/>
  <c r="N104" i="10" a="1"/>
  <c r="N104" i="10" s="1"/>
  <c r="N105" i="10" a="1"/>
  <c r="N105" i="10" s="1"/>
  <c r="N106" i="10" a="1"/>
  <c r="N106" i="10" s="1"/>
  <c r="N107" i="10" a="1"/>
  <c r="N107" i="10" s="1"/>
  <c r="N108" i="10" a="1"/>
  <c r="N108" i="10" s="1"/>
  <c r="N109" i="10" a="1"/>
  <c r="N109" i="10" s="1"/>
  <c r="N110" i="10" a="1"/>
  <c r="N110" i="10" s="1"/>
  <c r="N111" i="10" a="1"/>
  <c r="N111" i="10" s="1"/>
  <c r="N112" i="10" a="1"/>
  <c r="N112" i="10" s="1"/>
  <c r="N113" i="10" a="1"/>
  <c r="N113" i="10" s="1"/>
  <c r="N114" i="10" a="1"/>
  <c r="N114" i="10" s="1"/>
  <c r="N115" i="10" a="1"/>
  <c r="N115" i="10" s="1"/>
  <c r="N116" i="10" a="1"/>
  <c r="N116" i="10" s="1"/>
  <c r="N117" i="10" a="1"/>
  <c r="N117" i="10" s="1"/>
  <c r="N118" i="10" a="1"/>
  <c r="N118" i="10" s="1"/>
  <c r="N119" i="10" a="1"/>
  <c r="N119" i="10" s="1"/>
  <c r="N120" i="10" a="1"/>
  <c r="N120" i="10" s="1"/>
  <c r="N121" i="10" a="1"/>
  <c r="N121" i="10" s="1"/>
  <c r="N122" i="10" a="1"/>
  <c r="N122" i="10" s="1"/>
  <c r="N123" i="10" a="1"/>
  <c r="N123" i="10" s="1"/>
  <c r="N124" i="10" a="1"/>
  <c r="N124" i="10" s="1"/>
  <c r="N125" i="10" a="1"/>
  <c r="N125" i="10" s="1"/>
  <c r="N126" i="10" a="1"/>
  <c r="N126" i="10" s="1"/>
  <c r="N127" i="10" a="1"/>
  <c r="N127" i="10" s="1"/>
  <c r="N128" i="10" a="1"/>
  <c r="N128" i="10" s="1"/>
  <c r="N129" i="10" a="1"/>
  <c r="N129" i="10" s="1"/>
  <c r="N130" i="10" a="1"/>
  <c r="N130" i="10" s="1"/>
  <c r="N131" i="10" a="1"/>
  <c r="N131" i="10" s="1"/>
  <c r="N132" i="10" a="1"/>
  <c r="N132" i="10" s="1"/>
  <c r="N133" i="10" a="1"/>
  <c r="N133" i="10" s="1"/>
  <c r="N134" i="10" a="1"/>
  <c r="N134" i="10" s="1"/>
  <c r="N135" i="10" a="1"/>
  <c r="N135" i="10" s="1"/>
  <c r="N136" i="10" a="1"/>
  <c r="N136" i="10" s="1"/>
  <c r="N137" i="10" a="1"/>
  <c r="N137" i="10" s="1"/>
  <c r="N138" i="10" a="1"/>
  <c r="N138" i="10" s="1"/>
  <c r="N139" i="10" a="1"/>
  <c r="N139" i="10" s="1"/>
  <c r="N140" i="10" a="1"/>
  <c r="N140" i="10" s="1"/>
  <c r="N141" i="10" a="1"/>
  <c r="N141" i="10" s="1"/>
  <c r="N142" i="10" a="1"/>
  <c r="N142" i="10" s="1"/>
  <c r="N143" i="10" a="1"/>
  <c r="N143" i="10" s="1"/>
  <c r="N144" i="10" a="1"/>
  <c r="N144" i="10" s="1"/>
  <c r="N145" i="10" a="1"/>
  <c r="N145" i="10" s="1"/>
  <c r="N146" i="10" a="1"/>
  <c r="N146" i="10" s="1"/>
  <c r="N147" i="10" a="1"/>
  <c r="N147" i="10" s="1"/>
  <c r="N148" i="10" a="1"/>
  <c r="N148" i="10" s="1"/>
  <c r="N149" i="10" a="1"/>
  <c r="N149" i="10" s="1"/>
  <c r="N150" i="10" a="1"/>
  <c r="N150" i="10" s="1"/>
  <c r="N151" i="10" a="1"/>
  <c r="N151" i="10" s="1"/>
  <c r="N152" i="10" a="1"/>
  <c r="N152" i="10" s="1"/>
  <c r="N153" i="10" a="1"/>
  <c r="N153" i="10" s="1"/>
  <c r="N154" i="10" a="1"/>
  <c r="N154" i="10" s="1"/>
  <c r="N155" i="10" a="1"/>
  <c r="N155" i="10" s="1"/>
  <c r="N156" i="10" a="1"/>
  <c r="N156" i="10" s="1"/>
  <c r="N157" i="10" a="1"/>
  <c r="N157" i="10" s="1"/>
  <c r="N158" i="10" a="1"/>
  <c r="N158" i="10" s="1"/>
  <c r="N159" i="10" a="1"/>
  <c r="N159" i="10" s="1"/>
  <c r="N160" i="10" a="1"/>
  <c r="N160" i="10" s="1"/>
  <c r="N161" i="10" a="1"/>
  <c r="N161" i="10" s="1"/>
  <c r="N162" i="10" a="1"/>
  <c r="N162" i="10" s="1"/>
  <c r="N163" i="10" a="1"/>
  <c r="N163" i="10" s="1"/>
  <c r="N164" i="10" a="1"/>
  <c r="N164" i="10" s="1"/>
  <c r="N165" i="10" a="1"/>
  <c r="N165" i="10" s="1"/>
  <c r="N166" i="10" a="1"/>
  <c r="N166" i="10" s="1"/>
  <c r="N167" i="10" a="1"/>
  <c r="N167" i="10" s="1"/>
  <c r="N168" i="10" a="1"/>
  <c r="N168" i="10" s="1"/>
  <c r="N169" i="10" a="1"/>
  <c r="N169" i="10" s="1"/>
  <c r="N170" i="10" a="1"/>
  <c r="N170" i="10" s="1"/>
  <c r="N171" i="10" a="1"/>
  <c r="N171" i="10" s="1"/>
  <c r="N172" i="10" a="1"/>
  <c r="N172" i="10" s="1"/>
  <c r="N173" i="10" a="1"/>
  <c r="N173" i="10" s="1"/>
  <c r="N174" i="10" a="1"/>
  <c r="N174" i="10" s="1"/>
  <c r="N175" i="10" a="1"/>
  <c r="N175" i="10" s="1"/>
  <c r="N176" i="10" a="1"/>
  <c r="N176" i="10" s="1"/>
  <c r="N177" i="10" a="1"/>
  <c r="N177" i="10" s="1"/>
  <c r="N178" i="10" a="1"/>
  <c r="N178" i="10" s="1"/>
  <c r="N179" i="10" a="1"/>
  <c r="N179" i="10" s="1"/>
  <c r="N180" i="10" a="1"/>
  <c r="N180" i="10" s="1"/>
  <c r="N2" i="10" a="1"/>
  <c r="N2" i="10" s="1"/>
  <c r="M73" i="10" a="1"/>
  <c r="M73" i="10" s="1"/>
  <c r="M65" i="10" a="1"/>
  <c r="M65" i="10" s="1"/>
  <c r="M55" i="10" a="1"/>
  <c r="M55" i="10" s="1"/>
  <c r="M53" i="10" a="1"/>
  <c r="M53" i="10" s="1"/>
  <c r="M51" i="10" a="1"/>
  <c r="M51" i="10" s="1"/>
  <c r="M34" i="10" a="1"/>
  <c r="M34" i="10" s="1"/>
  <c r="M33" i="10" a="1"/>
  <c r="M33" i="10" s="1"/>
  <c r="M25" i="10" a="1"/>
  <c r="M25" i="10" s="1"/>
  <c r="M23" i="10" a="1"/>
  <c r="M23" i="10" s="1"/>
  <c r="M21" i="10" a="1"/>
  <c r="M21" i="10" s="1"/>
  <c r="M14" i="10" a="1"/>
  <c r="M14" i="10" s="1"/>
  <c r="M12" i="10" a="1"/>
  <c r="M12" i="10" s="1"/>
  <c r="M11" i="10" a="1"/>
  <c r="M11" i="10" s="1"/>
  <c r="L180" i="10"/>
  <c r="M83" i="10" a="1"/>
  <c r="M83" i="10" s="1"/>
  <c r="M45" i="10" a="1"/>
  <c r="M45" i="10" s="1"/>
  <c r="M43" i="10" a="1"/>
  <c r="M43" i="10" s="1"/>
  <c r="M41" i="10" a="1"/>
  <c r="M41" i="10" s="1"/>
  <c r="M35" i="10" a="1"/>
  <c r="M35" i="10" s="1"/>
  <c r="M31" i="10" a="1"/>
  <c r="M31" i="10" s="1"/>
  <c r="M27" i="10" a="1"/>
  <c r="M27" i="10" s="1"/>
  <c r="M17" i="10" a="1"/>
  <c r="M17" i="10" s="1"/>
  <c r="M16" i="10" a="1"/>
  <c r="M16" i="10" s="1"/>
  <c r="M13" i="10" a="1"/>
  <c r="M13" i="10" s="1"/>
  <c r="M46" i="10" a="1"/>
  <c r="M46" i="10" s="1"/>
  <c r="M19" i="10" a="1"/>
  <c r="M19" i="10" s="1"/>
  <c r="M15" i="10" a="1"/>
  <c r="M15" i="10" s="1"/>
  <c r="B169" i="11"/>
  <c r="B170" i="11"/>
  <c r="B171" i="11"/>
  <c r="B172" i="11"/>
  <c r="B173" i="11"/>
  <c r="B174" i="11"/>
  <c r="B175" i="11"/>
  <c r="B176" i="11"/>
  <c r="B177" i="11"/>
  <c r="B178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2" i="11"/>
  <c r="M10" i="10" a="1"/>
  <c r="M10" i="10" s="1"/>
  <c r="M18" i="10" a="1"/>
  <c r="M18" i="10" s="1"/>
  <c r="M20" i="10" a="1"/>
  <c r="M20" i="10" s="1"/>
  <c r="M22" i="10" a="1"/>
  <c r="M22" i="10" s="1"/>
  <c r="M24" i="10" a="1"/>
  <c r="M24" i="10" s="1"/>
  <c r="M26" i="10" a="1"/>
  <c r="M26" i="10" s="1"/>
  <c r="M28" i="10" a="1"/>
  <c r="M28" i="10" s="1"/>
  <c r="M29" i="10" a="1"/>
  <c r="M29" i="10" s="1"/>
  <c r="M30" i="10" a="1"/>
  <c r="M30" i="10" s="1"/>
  <c r="M32" i="10" a="1"/>
  <c r="M32" i="10" s="1"/>
  <c r="M36" i="10" a="1"/>
  <c r="M36" i="10" s="1"/>
  <c r="M37" i="10" a="1"/>
  <c r="M37" i="10" s="1"/>
  <c r="M38" i="10" a="1"/>
  <c r="M38" i="10" s="1"/>
  <c r="M39" i="10" a="1"/>
  <c r="M39" i="10" s="1"/>
  <c r="M40" i="10" a="1"/>
  <c r="M40" i="10" s="1"/>
  <c r="M42" i="10" a="1"/>
  <c r="M42" i="10" s="1"/>
  <c r="M44" i="10" a="1"/>
  <c r="M44" i="10" s="1"/>
  <c r="M47" i="10" a="1"/>
  <c r="M47" i="10" s="1"/>
  <c r="M48" i="10" a="1"/>
  <c r="M48" i="10" s="1"/>
  <c r="M49" i="10" a="1"/>
  <c r="M49" i="10" s="1"/>
  <c r="M50" i="10" a="1"/>
  <c r="M50" i="10" s="1"/>
  <c r="M52" i="10" a="1"/>
  <c r="M52" i="10" s="1"/>
  <c r="M54" i="10" a="1"/>
  <c r="M54" i="10" s="1"/>
  <c r="M56" i="10" a="1"/>
  <c r="M56" i="10" s="1"/>
  <c r="M57" i="10" a="1"/>
  <c r="M57" i="10" s="1"/>
  <c r="M58" i="10" a="1"/>
  <c r="M58" i="10" s="1"/>
  <c r="M59" i="10" a="1"/>
  <c r="M59" i="10" s="1"/>
  <c r="M60" i="10" a="1"/>
  <c r="M60" i="10" s="1"/>
  <c r="M61" i="10" a="1"/>
  <c r="M61" i="10" s="1"/>
  <c r="M62" i="10" a="1"/>
  <c r="M62" i="10" s="1"/>
  <c r="M63" i="10" a="1"/>
  <c r="M63" i="10" s="1"/>
  <c r="M64" i="10" a="1"/>
  <c r="M64" i="10" s="1"/>
  <c r="M66" i="10" a="1"/>
  <c r="M66" i="10" s="1"/>
  <c r="M67" i="10" a="1"/>
  <c r="M67" i="10" s="1"/>
  <c r="M68" i="10" a="1"/>
  <c r="M68" i="10" s="1"/>
  <c r="M69" i="10" a="1"/>
  <c r="M69" i="10" s="1"/>
  <c r="M70" i="10" a="1"/>
  <c r="M70" i="10" s="1"/>
  <c r="M71" i="10" a="1"/>
  <c r="M71" i="10" s="1"/>
  <c r="M72" i="10" a="1"/>
  <c r="M72" i="10" s="1"/>
  <c r="M74" i="10" a="1"/>
  <c r="M74" i="10" s="1"/>
  <c r="M75" i="10" a="1"/>
  <c r="M75" i="10" s="1"/>
  <c r="M76" i="10" a="1"/>
  <c r="M76" i="10" s="1"/>
  <c r="M77" i="10" a="1"/>
  <c r="M77" i="10" s="1"/>
  <c r="M78" i="10" a="1"/>
  <c r="M78" i="10" s="1"/>
  <c r="M79" i="10" a="1"/>
  <c r="M79" i="10" s="1"/>
  <c r="M80" i="10" a="1"/>
  <c r="M80" i="10" s="1"/>
  <c r="M81" i="10" a="1"/>
  <c r="M81" i="10" s="1"/>
  <c r="M82" i="10" a="1"/>
  <c r="M82" i="10" s="1"/>
  <c r="M84" i="10" a="1"/>
  <c r="M84" i="10" s="1"/>
  <c r="M85" i="10" a="1"/>
  <c r="M85" i="10" s="1"/>
  <c r="M86" i="10" a="1"/>
  <c r="M86" i="10" s="1"/>
  <c r="M87" i="10" a="1"/>
  <c r="M87" i="10" s="1"/>
  <c r="M88" i="10" a="1"/>
  <c r="M88" i="10" s="1"/>
  <c r="M89" i="10" a="1"/>
  <c r="M89" i="10" s="1"/>
  <c r="M90" i="10" a="1"/>
  <c r="M90" i="10" s="1"/>
  <c r="M91" i="10" a="1"/>
  <c r="M91" i="10" s="1"/>
  <c r="M92" i="10" a="1"/>
  <c r="M92" i="10" s="1"/>
  <c r="M93" i="10" a="1"/>
  <c r="M93" i="10" s="1"/>
  <c r="M94" i="10" a="1"/>
  <c r="M94" i="10" s="1"/>
  <c r="M95" i="10" a="1"/>
  <c r="M95" i="10" s="1"/>
  <c r="M96" i="10" a="1"/>
  <c r="M96" i="10" s="1"/>
  <c r="M97" i="10" a="1"/>
  <c r="M97" i="10" s="1"/>
  <c r="M98" i="10" a="1"/>
  <c r="M98" i="10" s="1"/>
  <c r="M99" i="10" a="1"/>
  <c r="M99" i="10" s="1"/>
  <c r="M100" i="10" a="1"/>
  <c r="M100" i="10" s="1"/>
  <c r="M101" i="10" a="1"/>
  <c r="M101" i="10" s="1"/>
  <c r="M102" i="10" a="1"/>
  <c r="M102" i="10" s="1"/>
  <c r="M103" i="10" a="1"/>
  <c r="M103" i="10" s="1"/>
  <c r="M104" i="10" a="1"/>
  <c r="M104" i="10" s="1"/>
  <c r="M105" i="10" a="1"/>
  <c r="M105" i="10" s="1"/>
  <c r="M106" i="10" a="1"/>
  <c r="M106" i="10" s="1"/>
  <c r="M107" i="10" a="1"/>
  <c r="M107" i="10" s="1"/>
  <c r="M108" i="10" a="1"/>
  <c r="M108" i="10" s="1"/>
  <c r="M109" i="10" a="1"/>
  <c r="M109" i="10" s="1"/>
  <c r="M110" i="10" a="1"/>
  <c r="M110" i="10" s="1"/>
  <c r="M111" i="10" a="1"/>
  <c r="M111" i="10" s="1"/>
  <c r="M112" i="10" a="1"/>
  <c r="M112" i="10" s="1"/>
  <c r="M113" i="10" a="1"/>
  <c r="M113" i="10" s="1"/>
  <c r="M114" i="10" a="1"/>
  <c r="M114" i="10" s="1"/>
  <c r="M115" i="10" a="1"/>
  <c r="M115" i="10" s="1"/>
  <c r="M116" i="10" a="1"/>
  <c r="M116" i="10" s="1"/>
  <c r="M117" i="10" a="1"/>
  <c r="M117" i="10" s="1"/>
  <c r="M118" i="10" a="1"/>
  <c r="M118" i="10" s="1"/>
  <c r="M119" i="10" a="1"/>
  <c r="M119" i="10" s="1"/>
  <c r="M120" i="10" a="1"/>
  <c r="M120" i="10" s="1"/>
  <c r="M121" i="10" a="1"/>
  <c r="M121" i="10" s="1"/>
  <c r="M122" i="10" a="1"/>
  <c r="M122" i="10" s="1"/>
  <c r="M123" i="10" a="1"/>
  <c r="M123" i="10" s="1"/>
  <c r="M124" i="10" a="1"/>
  <c r="M124" i="10" s="1"/>
  <c r="M125" i="10" a="1"/>
  <c r="M125" i="10" s="1"/>
  <c r="M126" i="10" a="1"/>
  <c r="M126" i="10" s="1"/>
  <c r="M127" i="10" a="1"/>
  <c r="M127" i="10" s="1"/>
  <c r="M128" i="10" a="1"/>
  <c r="M128" i="10" s="1"/>
  <c r="M129" i="10" a="1"/>
  <c r="M129" i="10" s="1"/>
  <c r="M130" i="10" a="1"/>
  <c r="M130" i="10" s="1"/>
  <c r="M131" i="10" a="1"/>
  <c r="M131" i="10" s="1"/>
  <c r="M132" i="10" a="1"/>
  <c r="M132" i="10" s="1"/>
  <c r="M133" i="10" a="1"/>
  <c r="M133" i="10" s="1"/>
  <c r="M134" i="10" a="1"/>
  <c r="M134" i="10" s="1"/>
  <c r="M135" i="10" a="1"/>
  <c r="M135" i="10" s="1"/>
  <c r="M136" i="10" a="1"/>
  <c r="M136" i="10" s="1"/>
  <c r="M137" i="10" a="1"/>
  <c r="M137" i="10" s="1"/>
  <c r="M138" i="10" a="1"/>
  <c r="M138" i="10" s="1"/>
  <c r="M139" i="10" a="1"/>
  <c r="M139" i="10" s="1"/>
  <c r="M140" i="10" a="1"/>
  <c r="M140" i="10" s="1"/>
  <c r="M141" i="10" a="1"/>
  <c r="M141" i="10" s="1"/>
  <c r="M142" i="10" a="1"/>
  <c r="M142" i="10" s="1"/>
  <c r="M143" i="10" a="1"/>
  <c r="M143" i="10" s="1"/>
  <c r="M144" i="10" a="1"/>
  <c r="M144" i="10" s="1"/>
  <c r="M145" i="10" a="1"/>
  <c r="M145" i="10" s="1"/>
  <c r="M146" i="10" a="1"/>
  <c r="M146" i="10" s="1"/>
  <c r="M147" i="10" a="1"/>
  <c r="M147" i="10" s="1"/>
  <c r="M148" i="10" a="1"/>
  <c r="M148" i="10" s="1"/>
  <c r="M149" i="10" a="1"/>
  <c r="M149" i="10" s="1"/>
  <c r="M150" i="10" a="1"/>
  <c r="M150" i="10" s="1"/>
  <c r="M151" i="10" a="1"/>
  <c r="M151" i="10" s="1"/>
  <c r="M152" i="10" a="1"/>
  <c r="M152" i="10" s="1"/>
  <c r="M153" i="10" a="1"/>
  <c r="M153" i="10" s="1"/>
  <c r="M154" i="10" a="1"/>
  <c r="M154" i="10" s="1"/>
  <c r="M155" i="10" a="1"/>
  <c r="M155" i="10" s="1"/>
  <c r="M156" i="10" a="1"/>
  <c r="M156" i="10" s="1"/>
  <c r="M157" i="10" a="1"/>
  <c r="M157" i="10" s="1"/>
  <c r="M158" i="10" a="1"/>
  <c r="M158" i="10" s="1"/>
  <c r="M159" i="10" a="1"/>
  <c r="M159" i="10" s="1"/>
  <c r="M160" i="10" a="1"/>
  <c r="M160" i="10" s="1"/>
  <c r="M161" i="10" a="1"/>
  <c r="M161" i="10" s="1"/>
  <c r="M162" i="10" a="1"/>
  <c r="M162" i="10" s="1"/>
  <c r="M163" i="10" a="1"/>
  <c r="M163" i="10" s="1"/>
  <c r="M164" i="10" a="1"/>
  <c r="M164" i="10" s="1"/>
  <c r="M165" i="10" a="1"/>
  <c r="M165" i="10" s="1"/>
  <c r="M166" i="10" a="1"/>
  <c r="M166" i="10" s="1"/>
  <c r="M167" i="10" a="1"/>
  <c r="M167" i="10" s="1"/>
  <c r="M168" i="10" a="1"/>
  <c r="M168" i="10" s="1"/>
  <c r="M169" i="10" a="1"/>
  <c r="M169" i="10" s="1"/>
  <c r="M170" i="10" a="1"/>
  <c r="M170" i="10" s="1"/>
  <c r="M171" i="10" a="1"/>
  <c r="M171" i="10" s="1"/>
  <c r="M172" i="10" a="1"/>
  <c r="M172" i="10" s="1"/>
  <c r="M173" i="10" a="1"/>
  <c r="M173" i="10" s="1"/>
  <c r="M174" i="10" a="1"/>
  <c r="M174" i="10" s="1"/>
  <c r="M175" i="10" a="1"/>
  <c r="M175" i="10" s="1"/>
  <c r="M176" i="10" a="1"/>
  <c r="M176" i="10" s="1"/>
  <c r="M177" i="10" a="1"/>
  <c r="M177" i="10" s="1"/>
  <c r="M178" i="10" a="1"/>
  <c r="M178" i="10" s="1"/>
  <c r="M179" i="10" a="1"/>
  <c r="M179" i="10" s="1"/>
  <c r="M180" i="10" a="1"/>
  <c r="M180" i="10" s="1"/>
  <c r="M3" i="10" a="1"/>
  <c r="M3" i="10" s="1"/>
  <c r="M4" i="10" a="1"/>
  <c r="M4" i="10" s="1"/>
  <c r="M5" i="10" a="1"/>
  <c r="M5" i="10" s="1"/>
  <c r="M6" i="10" a="1"/>
  <c r="M6" i="10" s="1"/>
  <c r="M7" i="10" a="1"/>
  <c r="M7" i="10" s="1"/>
  <c r="M8" i="10" a="1"/>
  <c r="M8" i="10" s="1"/>
  <c r="M9" i="10" a="1"/>
  <c r="M9" i="10" s="1"/>
  <c r="H599" i="10"/>
  <c r="I599" i="10" s="1"/>
  <c r="H598" i="10"/>
  <c r="I598" i="10" s="1"/>
  <c r="H597" i="10"/>
  <c r="I597" i="10" s="1"/>
  <c r="H596" i="10"/>
  <c r="I596" i="10" s="1"/>
  <c r="H595" i="10"/>
  <c r="I595" i="10" s="1"/>
  <c r="H594" i="10"/>
  <c r="I594" i="10" s="1"/>
  <c r="H593" i="10"/>
  <c r="I593" i="10" s="1"/>
  <c r="H592" i="10"/>
  <c r="I592" i="10" s="1"/>
  <c r="H591" i="10"/>
  <c r="I591" i="10" s="1"/>
  <c r="H590" i="10"/>
  <c r="I590" i="10" s="1"/>
  <c r="H589" i="10"/>
  <c r="I589" i="10" s="1"/>
  <c r="H588" i="10"/>
  <c r="I588" i="10" s="1"/>
  <c r="H587" i="10"/>
  <c r="I587" i="10" s="1"/>
  <c r="H586" i="10"/>
  <c r="I586" i="10" s="1"/>
  <c r="H585" i="10"/>
  <c r="I585" i="10" s="1"/>
  <c r="H584" i="10"/>
  <c r="I584" i="10" s="1"/>
  <c r="H583" i="10"/>
  <c r="I583" i="10" s="1"/>
  <c r="H582" i="10"/>
  <c r="I582" i="10" s="1"/>
  <c r="H581" i="10"/>
  <c r="I581" i="10" s="1"/>
  <c r="H580" i="10"/>
  <c r="I580" i="10" s="1"/>
  <c r="H579" i="10"/>
  <c r="I579" i="10" s="1"/>
  <c r="H578" i="10"/>
  <c r="I578" i="10" s="1"/>
  <c r="H577" i="10"/>
  <c r="I577" i="10" s="1"/>
  <c r="H576" i="10"/>
  <c r="I576" i="10" s="1"/>
  <c r="H575" i="10"/>
  <c r="I575" i="10" s="1"/>
  <c r="H574" i="10"/>
  <c r="I574" i="10" s="1"/>
  <c r="H573" i="10"/>
  <c r="I573" i="10" s="1"/>
  <c r="H572" i="10"/>
  <c r="I572" i="10" s="1"/>
  <c r="H571" i="10"/>
  <c r="I571" i="10" s="1"/>
  <c r="H570" i="10"/>
  <c r="I570" i="10" s="1"/>
  <c r="H569" i="10"/>
  <c r="I569" i="10" s="1"/>
  <c r="H568" i="10"/>
  <c r="I568" i="10" s="1"/>
  <c r="H567" i="10"/>
  <c r="I567" i="10" s="1"/>
  <c r="H566" i="10"/>
  <c r="I566" i="10" s="1"/>
  <c r="H565" i="10"/>
  <c r="I565" i="10" s="1"/>
  <c r="H564" i="10"/>
  <c r="I564" i="10" s="1"/>
  <c r="H563" i="10"/>
  <c r="I563" i="10" s="1"/>
  <c r="H562" i="10"/>
  <c r="I562" i="10" s="1"/>
  <c r="H561" i="10"/>
  <c r="I561" i="10" s="1"/>
  <c r="H560" i="10"/>
  <c r="I560" i="10" s="1"/>
  <c r="H559" i="10"/>
  <c r="I559" i="10" s="1"/>
  <c r="H558" i="10"/>
  <c r="I558" i="10" s="1"/>
  <c r="H557" i="10"/>
  <c r="I557" i="10" s="1"/>
  <c r="H556" i="10"/>
  <c r="I556" i="10" s="1"/>
  <c r="H555" i="10"/>
  <c r="I555" i="10" s="1"/>
  <c r="H554" i="10"/>
  <c r="I554" i="10" s="1"/>
  <c r="H553" i="10"/>
  <c r="I553" i="10" s="1"/>
  <c r="H552" i="10"/>
  <c r="I552" i="10" s="1"/>
  <c r="H551" i="10"/>
  <c r="I551" i="10" s="1"/>
  <c r="H550" i="10"/>
  <c r="I550" i="10" s="1"/>
  <c r="H549" i="10"/>
  <c r="I549" i="10" s="1"/>
  <c r="H548" i="10"/>
  <c r="I548" i="10" s="1"/>
  <c r="H547" i="10"/>
  <c r="I547" i="10" s="1"/>
  <c r="H546" i="10"/>
  <c r="I546" i="10" s="1"/>
  <c r="H545" i="10"/>
  <c r="I545" i="10" s="1"/>
  <c r="H544" i="10"/>
  <c r="I544" i="10" s="1"/>
  <c r="H543" i="10"/>
  <c r="I543" i="10" s="1"/>
  <c r="H542" i="10"/>
  <c r="I542" i="10" s="1"/>
  <c r="H541" i="10"/>
  <c r="I541" i="10" s="1"/>
  <c r="H540" i="10"/>
  <c r="I540" i="10" s="1"/>
  <c r="H539" i="10"/>
  <c r="I539" i="10" s="1"/>
  <c r="H538" i="10"/>
  <c r="I538" i="10" s="1"/>
  <c r="H537" i="10"/>
  <c r="I537" i="10" s="1"/>
  <c r="H536" i="10"/>
  <c r="I536" i="10" s="1"/>
  <c r="H535" i="10"/>
  <c r="I535" i="10" s="1"/>
  <c r="H534" i="10"/>
  <c r="I534" i="10" s="1"/>
  <c r="H533" i="10"/>
  <c r="I533" i="10" s="1"/>
  <c r="H532" i="10"/>
  <c r="I532" i="10" s="1"/>
  <c r="H531" i="10"/>
  <c r="I531" i="10" s="1"/>
  <c r="H530" i="10"/>
  <c r="I530" i="10" s="1"/>
  <c r="H529" i="10"/>
  <c r="I529" i="10" s="1"/>
  <c r="H528" i="10"/>
  <c r="I528" i="10" s="1"/>
  <c r="H527" i="10"/>
  <c r="I527" i="10" s="1"/>
  <c r="H526" i="10"/>
  <c r="I526" i="10" s="1"/>
  <c r="H525" i="10"/>
  <c r="I525" i="10" s="1"/>
  <c r="H524" i="10"/>
  <c r="I524" i="10" s="1"/>
  <c r="H523" i="10"/>
  <c r="I523" i="10" s="1"/>
  <c r="H522" i="10"/>
  <c r="I522" i="10" s="1"/>
  <c r="H521" i="10"/>
  <c r="I521" i="10" s="1"/>
  <c r="H520" i="10"/>
  <c r="I520" i="10" s="1"/>
  <c r="H519" i="10"/>
  <c r="I519" i="10" s="1"/>
  <c r="H518" i="10"/>
  <c r="I518" i="10" s="1"/>
  <c r="H517" i="10"/>
  <c r="I517" i="10" s="1"/>
  <c r="H516" i="10"/>
  <c r="I516" i="10" s="1"/>
  <c r="H515" i="10"/>
  <c r="I515" i="10" s="1"/>
  <c r="H514" i="10"/>
  <c r="I514" i="10" s="1"/>
  <c r="H513" i="10"/>
  <c r="I513" i="10" s="1"/>
  <c r="H512" i="10"/>
  <c r="I512" i="10" s="1"/>
  <c r="H511" i="10"/>
  <c r="I511" i="10" s="1"/>
  <c r="H510" i="10"/>
  <c r="I510" i="10" s="1"/>
  <c r="H509" i="10"/>
  <c r="I509" i="10" s="1"/>
  <c r="H508" i="10"/>
  <c r="I508" i="10" s="1"/>
  <c r="H507" i="10"/>
  <c r="I507" i="10" s="1"/>
  <c r="H506" i="10"/>
  <c r="I506" i="10" s="1"/>
  <c r="H505" i="10"/>
  <c r="I505" i="10" s="1"/>
  <c r="H504" i="10"/>
  <c r="I504" i="10" s="1"/>
  <c r="H503" i="10"/>
  <c r="I503" i="10" s="1"/>
  <c r="H502" i="10"/>
  <c r="I502" i="10" s="1"/>
  <c r="H501" i="10"/>
  <c r="I501" i="10" s="1"/>
  <c r="H500" i="10"/>
  <c r="I500" i="10" s="1"/>
  <c r="H499" i="10"/>
  <c r="I499" i="10" s="1"/>
  <c r="H498" i="10"/>
  <c r="I498" i="10" s="1"/>
  <c r="H497" i="10"/>
  <c r="I497" i="10" s="1"/>
  <c r="H496" i="10"/>
  <c r="I496" i="10" s="1"/>
  <c r="H495" i="10"/>
  <c r="I495" i="10" s="1"/>
  <c r="H494" i="10"/>
  <c r="I494" i="10" s="1"/>
  <c r="H493" i="10"/>
  <c r="I493" i="10" s="1"/>
  <c r="H492" i="10"/>
  <c r="I492" i="10" s="1"/>
  <c r="H491" i="10"/>
  <c r="I491" i="10" s="1"/>
  <c r="H490" i="10"/>
  <c r="I490" i="10" s="1"/>
  <c r="H489" i="10"/>
  <c r="I489" i="10" s="1"/>
  <c r="H488" i="10"/>
  <c r="I488" i="10" s="1"/>
  <c r="H487" i="10"/>
  <c r="I487" i="10" s="1"/>
  <c r="H486" i="10"/>
  <c r="I486" i="10" s="1"/>
  <c r="H485" i="10"/>
  <c r="I485" i="10" s="1"/>
  <c r="H484" i="10"/>
  <c r="I484" i="10" s="1"/>
  <c r="H483" i="10"/>
  <c r="I483" i="10" s="1"/>
  <c r="H482" i="10"/>
  <c r="I482" i="10" s="1"/>
  <c r="H481" i="10"/>
  <c r="I481" i="10" s="1"/>
  <c r="H480" i="10"/>
  <c r="I480" i="10" s="1"/>
  <c r="H479" i="10"/>
  <c r="I479" i="10" s="1"/>
  <c r="H478" i="10"/>
  <c r="I478" i="10" s="1"/>
  <c r="H477" i="10"/>
  <c r="I477" i="10" s="1"/>
  <c r="H476" i="10"/>
  <c r="I476" i="10" s="1"/>
  <c r="H475" i="10"/>
  <c r="I475" i="10" s="1"/>
  <c r="H474" i="10"/>
  <c r="I474" i="10" s="1"/>
  <c r="H473" i="10"/>
  <c r="I473" i="10" s="1"/>
  <c r="H472" i="10"/>
  <c r="I472" i="10" s="1"/>
  <c r="H471" i="10"/>
  <c r="I471" i="10" s="1"/>
  <c r="H470" i="10"/>
  <c r="I470" i="10" s="1"/>
  <c r="H469" i="10"/>
  <c r="I469" i="10" s="1"/>
  <c r="H468" i="10"/>
  <c r="I468" i="10" s="1"/>
  <c r="H467" i="10"/>
  <c r="I467" i="10" s="1"/>
  <c r="H466" i="10"/>
  <c r="I466" i="10" s="1"/>
  <c r="H465" i="10"/>
  <c r="I465" i="10" s="1"/>
  <c r="H464" i="10"/>
  <c r="I464" i="10" s="1"/>
  <c r="H463" i="10"/>
  <c r="I463" i="10" s="1"/>
  <c r="H462" i="10"/>
  <c r="I462" i="10" s="1"/>
  <c r="H461" i="10"/>
  <c r="I461" i="10" s="1"/>
  <c r="H460" i="10"/>
  <c r="I460" i="10" s="1"/>
  <c r="H459" i="10"/>
  <c r="I459" i="10" s="1"/>
  <c r="H458" i="10"/>
  <c r="I458" i="10" s="1"/>
  <c r="H457" i="10"/>
  <c r="I457" i="10" s="1"/>
  <c r="H456" i="10"/>
  <c r="I456" i="10" s="1"/>
  <c r="I455" i="10"/>
  <c r="H455" i="10"/>
  <c r="H454" i="10"/>
  <c r="I454" i="10" s="1"/>
  <c r="H453" i="10"/>
  <c r="I453" i="10" s="1"/>
  <c r="H452" i="10"/>
  <c r="I452" i="10" s="1"/>
  <c r="H451" i="10"/>
  <c r="I451" i="10" s="1"/>
  <c r="I450" i="10"/>
  <c r="H450" i="10"/>
  <c r="H449" i="10"/>
  <c r="I449" i="10" s="1"/>
  <c r="H448" i="10"/>
  <c r="I448" i="10" s="1"/>
  <c r="H447" i="10"/>
  <c r="I447" i="10" s="1"/>
  <c r="H446" i="10"/>
  <c r="I446" i="10" s="1"/>
  <c r="H445" i="10"/>
  <c r="I445" i="10" s="1"/>
  <c r="H444" i="10"/>
  <c r="I444" i="10" s="1"/>
  <c r="H443" i="10"/>
  <c r="I443" i="10" s="1"/>
  <c r="H442" i="10"/>
  <c r="I442" i="10" s="1"/>
  <c r="H441" i="10"/>
  <c r="I441" i="10" s="1"/>
  <c r="H440" i="10"/>
  <c r="I440" i="10" s="1"/>
  <c r="H439" i="10"/>
  <c r="I439" i="10" s="1"/>
  <c r="H438" i="10"/>
  <c r="I438" i="10" s="1"/>
  <c r="H437" i="10"/>
  <c r="I437" i="10" s="1"/>
  <c r="H436" i="10"/>
  <c r="I436" i="10" s="1"/>
  <c r="H435" i="10"/>
  <c r="I435" i="10" s="1"/>
  <c r="H434" i="10"/>
  <c r="I434" i="10" s="1"/>
  <c r="H433" i="10"/>
  <c r="I433" i="10" s="1"/>
  <c r="H432" i="10"/>
  <c r="I432" i="10" s="1"/>
  <c r="H431" i="10"/>
  <c r="I431" i="10" s="1"/>
  <c r="H430" i="10"/>
  <c r="I430" i="10" s="1"/>
  <c r="H429" i="10"/>
  <c r="I429" i="10" s="1"/>
  <c r="H428" i="10"/>
  <c r="I428" i="10" s="1"/>
  <c r="H427" i="10"/>
  <c r="I427" i="10" s="1"/>
  <c r="H426" i="10"/>
  <c r="I426" i="10" s="1"/>
  <c r="H425" i="10"/>
  <c r="I425" i="10" s="1"/>
  <c r="H424" i="10"/>
  <c r="I424" i="10" s="1"/>
  <c r="H423" i="10"/>
  <c r="I423" i="10" s="1"/>
  <c r="H422" i="10"/>
  <c r="I422" i="10" s="1"/>
  <c r="H421" i="10"/>
  <c r="I421" i="10" s="1"/>
  <c r="H420" i="10"/>
  <c r="I420" i="10" s="1"/>
  <c r="H419" i="10"/>
  <c r="I419" i="10" s="1"/>
  <c r="H418" i="10"/>
  <c r="I418" i="10" s="1"/>
  <c r="H417" i="10"/>
  <c r="I417" i="10" s="1"/>
  <c r="H416" i="10"/>
  <c r="I416" i="10" s="1"/>
  <c r="H415" i="10"/>
  <c r="I415" i="10" s="1"/>
  <c r="H414" i="10"/>
  <c r="I414" i="10" s="1"/>
  <c r="H413" i="10"/>
  <c r="I413" i="10" s="1"/>
  <c r="H412" i="10"/>
  <c r="I412" i="10" s="1"/>
  <c r="H411" i="10"/>
  <c r="I411" i="10" s="1"/>
  <c r="H410" i="10"/>
  <c r="I410" i="10" s="1"/>
  <c r="H409" i="10"/>
  <c r="I409" i="10" s="1"/>
  <c r="H408" i="10"/>
  <c r="I408" i="10" s="1"/>
  <c r="H407" i="10"/>
  <c r="I407" i="10" s="1"/>
  <c r="H406" i="10"/>
  <c r="I406" i="10" s="1"/>
  <c r="H405" i="10"/>
  <c r="I405" i="10" s="1"/>
  <c r="H404" i="10"/>
  <c r="I404" i="10" s="1"/>
  <c r="H403" i="10"/>
  <c r="I403" i="10" s="1"/>
  <c r="H402" i="10"/>
  <c r="I402" i="10" s="1"/>
  <c r="H401" i="10"/>
  <c r="I401" i="10" s="1"/>
  <c r="H400" i="10"/>
  <c r="I400" i="10" s="1"/>
  <c r="H399" i="10"/>
  <c r="I399" i="10" s="1"/>
  <c r="H398" i="10"/>
  <c r="I398" i="10" s="1"/>
  <c r="H397" i="10"/>
  <c r="I397" i="10" s="1"/>
  <c r="H396" i="10"/>
  <c r="I396" i="10" s="1"/>
  <c r="H395" i="10"/>
  <c r="I395" i="10" s="1"/>
  <c r="H394" i="10"/>
  <c r="I394" i="10" s="1"/>
  <c r="H393" i="10"/>
  <c r="I393" i="10" s="1"/>
  <c r="H392" i="10"/>
  <c r="I392" i="10" s="1"/>
  <c r="H391" i="10"/>
  <c r="I391" i="10" s="1"/>
  <c r="H390" i="10"/>
  <c r="I390" i="10" s="1"/>
  <c r="H389" i="10"/>
  <c r="I389" i="10" s="1"/>
  <c r="H388" i="10"/>
  <c r="I388" i="10" s="1"/>
  <c r="H387" i="10"/>
  <c r="I387" i="10" s="1"/>
  <c r="H386" i="10"/>
  <c r="I386" i="10" s="1"/>
  <c r="H385" i="10"/>
  <c r="I385" i="10" s="1"/>
  <c r="H384" i="10"/>
  <c r="I384" i="10" s="1"/>
  <c r="H383" i="10"/>
  <c r="I383" i="10" s="1"/>
  <c r="H382" i="10"/>
  <c r="I382" i="10" s="1"/>
  <c r="H381" i="10"/>
  <c r="I381" i="10" s="1"/>
  <c r="H380" i="10"/>
  <c r="I380" i="10" s="1"/>
  <c r="H379" i="10"/>
  <c r="I379" i="10" s="1"/>
  <c r="H378" i="10"/>
  <c r="I378" i="10" s="1"/>
  <c r="H377" i="10"/>
  <c r="I377" i="10" s="1"/>
  <c r="H376" i="10"/>
  <c r="I376" i="10" s="1"/>
  <c r="H375" i="10"/>
  <c r="I375" i="10" s="1"/>
  <c r="H374" i="10"/>
  <c r="I374" i="10" s="1"/>
  <c r="H373" i="10"/>
  <c r="I373" i="10" s="1"/>
  <c r="H372" i="10"/>
  <c r="I372" i="10" s="1"/>
  <c r="H371" i="10"/>
  <c r="I371" i="10" s="1"/>
  <c r="H370" i="10"/>
  <c r="I370" i="10" s="1"/>
  <c r="H369" i="10"/>
  <c r="I369" i="10" s="1"/>
  <c r="H368" i="10"/>
  <c r="I368" i="10" s="1"/>
  <c r="H367" i="10"/>
  <c r="I367" i="10" s="1"/>
  <c r="H366" i="10"/>
  <c r="I366" i="10" s="1"/>
  <c r="H365" i="10"/>
  <c r="I365" i="10" s="1"/>
  <c r="H364" i="10"/>
  <c r="I364" i="10" s="1"/>
  <c r="H363" i="10"/>
  <c r="I363" i="10" s="1"/>
  <c r="H362" i="10"/>
  <c r="I362" i="10" s="1"/>
  <c r="H361" i="10"/>
  <c r="I361" i="10" s="1"/>
  <c r="H360" i="10"/>
  <c r="I360" i="10" s="1"/>
  <c r="H359" i="10"/>
  <c r="I359" i="10" s="1"/>
  <c r="H358" i="10"/>
  <c r="I358" i="10" s="1"/>
  <c r="H357" i="10"/>
  <c r="I357" i="10" s="1"/>
  <c r="H356" i="10"/>
  <c r="I356" i="10" s="1"/>
  <c r="H355" i="10"/>
  <c r="I355" i="10" s="1"/>
  <c r="H354" i="10"/>
  <c r="I354" i="10" s="1"/>
  <c r="H353" i="10"/>
  <c r="I353" i="10" s="1"/>
  <c r="H352" i="10"/>
  <c r="I352" i="10" s="1"/>
  <c r="H351" i="10"/>
  <c r="I351" i="10" s="1"/>
  <c r="H350" i="10"/>
  <c r="I350" i="10" s="1"/>
  <c r="H349" i="10"/>
  <c r="I349" i="10" s="1"/>
  <c r="H348" i="10"/>
  <c r="I348" i="10" s="1"/>
  <c r="H347" i="10"/>
  <c r="I347" i="10" s="1"/>
  <c r="H346" i="10"/>
  <c r="I346" i="10" s="1"/>
  <c r="H345" i="10"/>
  <c r="I345" i="10" s="1"/>
  <c r="H344" i="10"/>
  <c r="I344" i="10" s="1"/>
  <c r="H343" i="10"/>
  <c r="I343" i="10" s="1"/>
  <c r="H342" i="10"/>
  <c r="I342" i="10" s="1"/>
  <c r="H341" i="10"/>
  <c r="I341" i="10" s="1"/>
  <c r="H340" i="10"/>
  <c r="I340" i="10" s="1"/>
  <c r="H339" i="10"/>
  <c r="I339" i="10" s="1"/>
  <c r="H338" i="10"/>
  <c r="I338" i="10" s="1"/>
  <c r="H337" i="10"/>
  <c r="I337" i="10" s="1"/>
  <c r="H336" i="10"/>
  <c r="I336" i="10" s="1"/>
  <c r="H335" i="10"/>
  <c r="I335" i="10" s="1"/>
  <c r="H334" i="10"/>
  <c r="I334" i="10" s="1"/>
  <c r="H333" i="10"/>
  <c r="I333" i="10" s="1"/>
  <c r="H332" i="10"/>
  <c r="I332" i="10" s="1"/>
  <c r="H331" i="10"/>
  <c r="I331" i="10" s="1"/>
  <c r="H330" i="10"/>
  <c r="I330" i="10" s="1"/>
  <c r="H329" i="10"/>
  <c r="I329" i="10" s="1"/>
  <c r="H328" i="10"/>
  <c r="I328" i="10" s="1"/>
  <c r="H327" i="10"/>
  <c r="I327" i="10" s="1"/>
  <c r="H326" i="10"/>
  <c r="I326" i="10" s="1"/>
  <c r="H325" i="10"/>
  <c r="I325" i="10" s="1"/>
  <c r="H324" i="10"/>
  <c r="I324" i="10" s="1"/>
  <c r="H323" i="10"/>
  <c r="I323" i="10" s="1"/>
  <c r="H322" i="10"/>
  <c r="I322" i="10" s="1"/>
  <c r="H321" i="10"/>
  <c r="I321" i="10" s="1"/>
  <c r="H320" i="10"/>
  <c r="I320" i="10" s="1"/>
  <c r="H319" i="10"/>
  <c r="I319" i="10" s="1"/>
  <c r="H318" i="10"/>
  <c r="I318" i="10" s="1"/>
  <c r="H317" i="10"/>
  <c r="I317" i="10" s="1"/>
  <c r="H316" i="10"/>
  <c r="I316" i="10" s="1"/>
  <c r="H315" i="10"/>
  <c r="I315" i="10" s="1"/>
  <c r="H314" i="10"/>
  <c r="I314" i="10" s="1"/>
  <c r="H313" i="10"/>
  <c r="I313" i="10" s="1"/>
  <c r="H312" i="10"/>
  <c r="I312" i="10" s="1"/>
  <c r="H311" i="10"/>
  <c r="I311" i="10" s="1"/>
  <c r="H310" i="10"/>
  <c r="I310" i="10" s="1"/>
  <c r="H309" i="10"/>
  <c r="I309" i="10" s="1"/>
  <c r="H308" i="10"/>
  <c r="I308" i="10" s="1"/>
  <c r="H307" i="10"/>
  <c r="I307" i="10" s="1"/>
  <c r="H306" i="10"/>
  <c r="I306" i="10" s="1"/>
  <c r="H305" i="10"/>
  <c r="I305" i="10" s="1"/>
  <c r="H304" i="10"/>
  <c r="I304" i="10" s="1"/>
  <c r="H303" i="10"/>
  <c r="I303" i="10" s="1"/>
  <c r="H302" i="10"/>
  <c r="I302" i="10" s="1"/>
  <c r="H301" i="10"/>
  <c r="I301" i="10" s="1"/>
  <c r="H300" i="10"/>
  <c r="I300" i="10" s="1"/>
  <c r="H299" i="10"/>
  <c r="I299" i="10" s="1"/>
  <c r="H298" i="10"/>
  <c r="I298" i="10" s="1"/>
  <c r="H297" i="10"/>
  <c r="I297" i="10" s="1"/>
  <c r="H296" i="10"/>
  <c r="I296" i="10" s="1"/>
  <c r="H295" i="10"/>
  <c r="I295" i="10" s="1"/>
  <c r="H294" i="10"/>
  <c r="I294" i="10" s="1"/>
  <c r="H293" i="10"/>
  <c r="I293" i="10" s="1"/>
  <c r="H292" i="10"/>
  <c r="I292" i="10" s="1"/>
  <c r="H291" i="10"/>
  <c r="I291" i="10" s="1"/>
  <c r="H290" i="10"/>
  <c r="I290" i="10" s="1"/>
  <c r="H289" i="10"/>
  <c r="I289" i="10" s="1"/>
  <c r="H288" i="10"/>
  <c r="I288" i="10" s="1"/>
  <c r="H287" i="10"/>
  <c r="I287" i="10" s="1"/>
  <c r="H286" i="10"/>
  <c r="I286" i="10" s="1"/>
  <c r="H285" i="10"/>
  <c r="I285" i="10" s="1"/>
  <c r="H284" i="10"/>
  <c r="I284" i="10" s="1"/>
  <c r="H283" i="10"/>
  <c r="I283" i="10" s="1"/>
  <c r="H282" i="10"/>
  <c r="I282" i="10" s="1"/>
  <c r="H281" i="10"/>
  <c r="I281" i="10" s="1"/>
  <c r="H280" i="10"/>
  <c r="I280" i="10" s="1"/>
  <c r="H279" i="10"/>
  <c r="I279" i="10" s="1"/>
  <c r="H278" i="10"/>
  <c r="I278" i="10" s="1"/>
  <c r="H277" i="10"/>
  <c r="I277" i="10" s="1"/>
  <c r="H276" i="10"/>
  <c r="I276" i="10" s="1"/>
  <c r="H275" i="10"/>
  <c r="I275" i="10" s="1"/>
  <c r="H274" i="10"/>
  <c r="I274" i="10" s="1"/>
  <c r="H273" i="10"/>
  <c r="I273" i="10" s="1"/>
  <c r="H272" i="10"/>
  <c r="I272" i="10" s="1"/>
  <c r="H271" i="10"/>
  <c r="I271" i="10" s="1"/>
  <c r="H270" i="10"/>
  <c r="I270" i="10" s="1"/>
  <c r="H269" i="10"/>
  <c r="I269" i="10" s="1"/>
  <c r="H268" i="10"/>
  <c r="I268" i="10" s="1"/>
  <c r="H267" i="10"/>
  <c r="I267" i="10" s="1"/>
  <c r="H266" i="10"/>
  <c r="I266" i="10" s="1"/>
  <c r="H265" i="10"/>
  <c r="I265" i="10" s="1"/>
  <c r="H264" i="10"/>
  <c r="I264" i="10" s="1"/>
  <c r="H263" i="10"/>
  <c r="I263" i="10" s="1"/>
  <c r="H262" i="10"/>
  <c r="I262" i="10" s="1"/>
  <c r="H261" i="10"/>
  <c r="I261" i="10" s="1"/>
  <c r="H260" i="10"/>
  <c r="I260" i="10" s="1"/>
  <c r="H259" i="10"/>
  <c r="I259" i="10" s="1"/>
  <c r="H258" i="10"/>
  <c r="I258" i="10" s="1"/>
  <c r="H257" i="10"/>
  <c r="I257" i="10" s="1"/>
  <c r="H256" i="10"/>
  <c r="I256" i="10" s="1"/>
  <c r="H255" i="10"/>
  <c r="I255" i="10" s="1"/>
  <c r="H254" i="10"/>
  <c r="I254" i="10" s="1"/>
  <c r="H253" i="10"/>
  <c r="I253" i="10" s="1"/>
  <c r="H252" i="10"/>
  <c r="I252" i="10" s="1"/>
  <c r="H251" i="10"/>
  <c r="I251" i="10" s="1"/>
  <c r="H250" i="10"/>
  <c r="I250" i="10" s="1"/>
  <c r="H249" i="10"/>
  <c r="I249" i="10" s="1"/>
  <c r="H248" i="10"/>
  <c r="I248" i="10" s="1"/>
  <c r="H247" i="10"/>
  <c r="I247" i="10" s="1"/>
  <c r="H246" i="10"/>
  <c r="I246" i="10" s="1"/>
  <c r="H245" i="10"/>
  <c r="I245" i="10" s="1"/>
  <c r="H244" i="10"/>
  <c r="I244" i="10" s="1"/>
  <c r="H243" i="10"/>
  <c r="I243" i="10" s="1"/>
  <c r="H242" i="10"/>
  <c r="I242" i="10" s="1"/>
  <c r="H241" i="10"/>
  <c r="I241" i="10" s="1"/>
  <c r="H240" i="10"/>
  <c r="I240" i="10" s="1"/>
  <c r="H239" i="10"/>
  <c r="I239" i="10" s="1"/>
  <c r="H238" i="10"/>
  <c r="I238" i="10" s="1"/>
  <c r="H237" i="10"/>
  <c r="I237" i="10" s="1"/>
  <c r="H236" i="10"/>
  <c r="I236" i="10" s="1"/>
  <c r="H235" i="10"/>
  <c r="I235" i="10" s="1"/>
  <c r="H234" i="10"/>
  <c r="I234" i="10" s="1"/>
  <c r="H233" i="10"/>
  <c r="I233" i="10" s="1"/>
  <c r="H232" i="10"/>
  <c r="I232" i="10" s="1"/>
  <c r="H231" i="10"/>
  <c r="I231" i="10" s="1"/>
  <c r="H230" i="10"/>
  <c r="I230" i="10" s="1"/>
  <c r="H229" i="10"/>
  <c r="I229" i="10" s="1"/>
  <c r="H228" i="10"/>
  <c r="I228" i="10" s="1"/>
  <c r="H227" i="10"/>
  <c r="I227" i="10" s="1"/>
  <c r="H226" i="10"/>
  <c r="I226" i="10" s="1"/>
  <c r="H225" i="10"/>
  <c r="I225" i="10" s="1"/>
  <c r="H224" i="10"/>
  <c r="I224" i="10" s="1"/>
  <c r="H223" i="10"/>
  <c r="I223" i="10" s="1"/>
  <c r="H222" i="10"/>
  <c r="I222" i="10" s="1"/>
  <c r="H221" i="10"/>
  <c r="I221" i="10" s="1"/>
  <c r="H220" i="10"/>
  <c r="I220" i="10" s="1"/>
  <c r="H219" i="10"/>
  <c r="I219" i="10" s="1"/>
  <c r="H218" i="10"/>
  <c r="I218" i="10" s="1"/>
  <c r="H217" i="10"/>
  <c r="I217" i="10" s="1"/>
  <c r="H216" i="10"/>
  <c r="I216" i="10" s="1"/>
  <c r="H215" i="10"/>
  <c r="I215" i="10" s="1"/>
  <c r="H214" i="10"/>
  <c r="I214" i="10" s="1"/>
  <c r="H213" i="10"/>
  <c r="I213" i="10" s="1"/>
  <c r="H212" i="10"/>
  <c r="I212" i="10" s="1"/>
  <c r="H211" i="10"/>
  <c r="I211" i="10" s="1"/>
  <c r="H210" i="10"/>
  <c r="I210" i="10" s="1"/>
  <c r="H209" i="10"/>
  <c r="I209" i="10" s="1"/>
  <c r="H208" i="10"/>
  <c r="I208" i="10" s="1"/>
  <c r="H207" i="10"/>
  <c r="I207" i="10" s="1"/>
  <c r="H206" i="10"/>
  <c r="I206" i="10" s="1"/>
  <c r="I205" i="10"/>
  <c r="H205" i="10"/>
  <c r="H204" i="10"/>
  <c r="I204" i="10" s="1"/>
  <c r="H203" i="10"/>
  <c r="I203" i="10" s="1"/>
  <c r="H202" i="10"/>
  <c r="I202" i="10" s="1"/>
  <c r="H201" i="10"/>
  <c r="I201" i="10" s="1"/>
  <c r="H200" i="10"/>
  <c r="I200" i="10" s="1"/>
  <c r="H199" i="10"/>
  <c r="I199" i="10" s="1"/>
  <c r="H198" i="10"/>
  <c r="I198" i="10" s="1"/>
  <c r="H197" i="10"/>
  <c r="I197" i="10" s="1"/>
  <c r="H196" i="10"/>
  <c r="I196" i="10" s="1"/>
  <c r="H195" i="10"/>
  <c r="I195" i="10" s="1"/>
  <c r="H194" i="10"/>
  <c r="I194" i="10" s="1"/>
  <c r="H193" i="10"/>
  <c r="I193" i="10" s="1"/>
  <c r="H192" i="10"/>
  <c r="I192" i="10" s="1"/>
  <c r="H191" i="10"/>
  <c r="I191" i="10" s="1"/>
  <c r="H190" i="10"/>
  <c r="I190" i="10" s="1"/>
  <c r="H189" i="10"/>
  <c r="I189" i="10" s="1"/>
  <c r="H188" i="10"/>
  <c r="I188" i="10" s="1"/>
  <c r="H187" i="10"/>
  <c r="I187" i="10" s="1"/>
  <c r="I186" i="10"/>
  <c r="H186" i="10"/>
  <c r="H185" i="10"/>
  <c r="I185" i="10" s="1"/>
  <c r="H184" i="10"/>
  <c r="I184" i="10" s="1"/>
  <c r="H183" i="10"/>
  <c r="I183" i="10" s="1"/>
  <c r="H182" i="10"/>
  <c r="I182" i="10" s="1"/>
  <c r="H181" i="10"/>
  <c r="I181" i="10" s="1"/>
  <c r="H180" i="10"/>
  <c r="I180" i="10" s="1"/>
  <c r="H179" i="10"/>
  <c r="I179" i="10" s="1"/>
  <c r="H178" i="10"/>
  <c r="I178" i="10" s="1"/>
  <c r="H177" i="10"/>
  <c r="I177" i="10" s="1"/>
  <c r="H176" i="10"/>
  <c r="I176" i="10" s="1"/>
  <c r="H175" i="10"/>
  <c r="I175" i="10" s="1"/>
  <c r="H174" i="10"/>
  <c r="I174" i="10" s="1"/>
  <c r="H173" i="10"/>
  <c r="I173" i="10" s="1"/>
  <c r="H172" i="10"/>
  <c r="I172" i="10" s="1"/>
  <c r="H171" i="10"/>
  <c r="I171" i="10" s="1"/>
  <c r="H170" i="10"/>
  <c r="I170" i="10" s="1"/>
  <c r="H169" i="10"/>
  <c r="I169" i="10" s="1"/>
  <c r="H168" i="10"/>
  <c r="I168" i="10" s="1"/>
  <c r="H167" i="10"/>
  <c r="I167" i="10" s="1"/>
  <c r="H166" i="10"/>
  <c r="I166" i="10" s="1"/>
  <c r="H165" i="10"/>
  <c r="I165" i="10" s="1"/>
  <c r="H164" i="10"/>
  <c r="I164" i="10" s="1"/>
  <c r="H163" i="10"/>
  <c r="I163" i="10" s="1"/>
  <c r="H162" i="10"/>
  <c r="I162" i="10" s="1"/>
  <c r="H161" i="10"/>
  <c r="I161" i="10" s="1"/>
  <c r="H160" i="10"/>
  <c r="I160" i="10" s="1"/>
  <c r="H159" i="10"/>
  <c r="I159" i="10" s="1"/>
  <c r="H158" i="10"/>
  <c r="I158" i="10" s="1"/>
  <c r="H157" i="10"/>
  <c r="I157" i="10" s="1"/>
  <c r="H156" i="10"/>
  <c r="I156" i="10" s="1"/>
  <c r="H155" i="10"/>
  <c r="I155" i="10" s="1"/>
  <c r="H154" i="10"/>
  <c r="I154" i="10" s="1"/>
  <c r="H153" i="10"/>
  <c r="I153" i="10" s="1"/>
  <c r="H152" i="10"/>
  <c r="I152" i="10" s="1"/>
  <c r="H151" i="10"/>
  <c r="I151" i="10" s="1"/>
  <c r="H150" i="10"/>
  <c r="I150" i="10" s="1"/>
  <c r="H149" i="10"/>
  <c r="I149" i="10" s="1"/>
  <c r="H148" i="10"/>
  <c r="I148" i="10" s="1"/>
  <c r="H147" i="10"/>
  <c r="I147" i="10" s="1"/>
  <c r="H146" i="10"/>
  <c r="I146" i="10" s="1"/>
  <c r="H145" i="10"/>
  <c r="I145" i="10" s="1"/>
  <c r="H144" i="10"/>
  <c r="I144" i="10" s="1"/>
  <c r="H143" i="10"/>
  <c r="I143" i="10" s="1"/>
  <c r="H142" i="10"/>
  <c r="I142" i="10" s="1"/>
  <c r="H141" i="10"/>
  <c r="I141" i="10" s="1"/>
  <c r="H140" i="10"/>
  <c r="I140" i="10" s="1"/>
  <c r="H139" i="10"/>
  <c r="I139" i="10" s="1"/>
  <c r="H138" i="10"/>
  <c r="I138" i="10" s="1"/>
  <c r="H137" i="10"/>
  <c r="I137" i="10" s="1"/>
  <c r="H136" i="10"/>
  <c r="I136" i="10" s="1"/>
  <c r="H135" i="10"/>
  <c r="I135" i="10" s="1"/>
  <c r="H134" i="10"/>
  <c r="I134" i="10" s="1"/>
  <c r="H133" i="10"/>
  <c r="I133" i="10" s="1"/>
  <c r="H132" i="10"/>
  <c r="I132" i="10" s="1"/>
  <c r="H131" i="10"/>
  <c r="I131" i="10" s="1"/>
  <c r="H130" i="10"/>
  <c r="I130" i="10" s="1"/>
  <c r="H129" i="10"/>
  <c r="I129" i="10" s="1"/>
  <c r="H128" i="10"/>
  <c r="I128" i="10" s="1"/>
  <c r="H127" i="10"/>
  <c r="I127" i="10" s="1"/>
  <c r="H126" i="10"/>
  <c r="I126" i="10" s="1"/>
  <c r="H125" i="10"/>
  <c r="I125" i="10" s="1"/>
  <c r="H124" i="10"/>
  <c r="I124" i="10" s="1"/>
  <c r="H123" i="10"/>
  <c r="I123" i="10" s="1"/>
  <c r="H122" i="10"/>
  <c r="I122" i="10" s="1"/>
  <c r="H121" i="10"/>
  <c r="I121" i="10" s="1"/>
  <c r="H120" i="10"/>
  <c r="I120" i="10" s="1"/>
  <c r="H119" i="10"/>
  <c r="I119" i="10" s="1"/>
  <c r="H118" i="10"/>
  <c r="I118" i="10" s="1"/>
  <c r="H117" i="10"/>
  <c r="I117" i="10" s="1"/>
  <c r="H116" i="10"/>
  <c r="I116" i="10" s="1"/>
  <c r="H115" i="10"/>
  <c r="I115" i="10" s="1"/>
  <c r="H114" i="10"/>
  <c r="I114" i="10" s="1"/>
  <c r="H113" i="10"/>
  <c r="I113" i="10" s="1"/>
  <c r="H112" i="10"/>
  <c r="I112" i="10" s="1"/>
  <c r="H111" i="10"/>
  <c r="I111" i="10" s="1"/>
  <c r="H110" i="10"/>
  <c r="I110" i="10" s="1"/>
  <c r="H109" i="10"/>
  <c r="I109" i="10" s="1"/>
  <c r="H108" i="10"/>
  <c r="I108" i="10" s="1"/>
  <c r="H107" i="10"/>
  <c r="I107" i="10" s="1"/>
  <c r="H106" i="10"/>
  <c r="I106" i="10" s="1"/>
  <c r="H105" i="10"/>
  <c r="I105" i="10" s="1"/>
  <c r="H104" i="10"/>
  <c r="I104" i="10" s="1"/>
  <c r="H103" i="10"/>
  <c r="I103" i="10" s="1"/>
  <c r="H102" i="10"/>
  <c r="I102" i="10" s="1"/>
  <c r="H101" i="10"/>
  <c r="I101" i="10" s="1"/>
  <c r="H100" i="10"/>
  <c r="I100" i="10" s="1"/>
  <c r="H99" i="10"/>
  <c r="I99" i="10" s="1"/>
  <c r="H98" i="10"/>
  <c r="I98" i="10" s="1"/>
  <c r="H97" i="10"/>
  <c r="I97" i="10" s="1"/>
  <c r="H96" i="10"/>
  <c r="I96" i="10" s="1"/>
  <c r="H95" i="10"/>
  <c r="I95" i="10" s="1"/>
  <c r="H94" i="10"/>
  <c r="I94" i="10" s="1"/>
  <c r="H93" i="10"/>
  <c r="I93" i="10" s="1"/>
  <c r="H92" i="10"/>
  <c r="I92" i="10" s="1"/>
  <c r="H91" i="10"/>
  <c r="I91" i="10" s="1"/>
  <c r="H90" i="10"/>
  <c r="I90" i="10" s="1"/>
  <c r="H89" i="10"/>
  <c r="I89" i="10" s="1"/>
  <c r="H88" i="10"/>
  <c r="I88" i="10" s="1"/>
  <c r="H87" i="10"/>
  <c r="I87" i="10" s="1"/>
  <c r="H86" i="10"/>
  <c r="I86" i="10" s="1"/>
  <c r="H85" i="10"/>
  <c r="I85" i="10" s="1"/>
  <c r="H84" i="10"/>
  <c r="I84" i="10" s="1"/>
  <c r="H83" i="10"/>
  <c r="I83" i="10" s="1"/>
  <c r="H82" i="10"/>
  <c r="I82" i="10" s="1"/>
  <c r="H81" i="10"/>
  <c r="I81" i="10" s="1"/>
  <c r="H80" i="10"/>
  <c r="I80" i="10" s="1"/>
  <c r="H79" i="10"/>
  <c r="I79" i="10" s="1"/>
  <c r="H78" i="10"/>
  <c r="I78" i="10" s="1"/>
  <c r="H77" i="10"/>
  <c r="I77" i="10" s="1"/>
  <c r="H76" i="10"/>
  <c r="I76" i="10" s="1"/>
  <c r="H75" i="10"/>
  <c r="I75" i="10" s="1"/>
  <c r="H74" i="10"/>
  <c r="I74" i="10" s="1"/>
  <c r="H73" i="10"/>
  <c r="I73" i="10" s="1"/>
  <c r="H72" i="10"/>
  <c r="I72" i="10" s="1"/>
  <c r="H71" i="10"/>
  <c r="I71" i="10" s="1"/>
  <c r="H70" i="10"/>
  <c r="I70" i="10" s="1"/>
  <c r="H69" i="10"/>
  <c r="I69" i="10" s="1"/>
  <c r="H68" i="10"/>
  <c r="I68" i="10" s="1"/>
  <c r="H67" i="10"/>
  <c r="I67" i="10" s="1"/>
  <c r="H66" i="10"/>
  <c r="I66" i="10" s="1"/>
  <c r="H65" i="10"/>
  <c r="I65" i="10" s="1"/>
  <c r="H64" i="10"/>
  <c r="I64" i="10" s="1"/>
  <c r="H63" i="10"/>
  <c r="I63" i="10" s="1"/>
  <c r="H62" i="10"/>
  <c r="I62" i="10" s="1"/>
  <c r="H61" i="10"/>
  <c r="I61" i="10" s="1"/>
  <c r="H60" i="10"/>
  <c r="I60" i="10" s="1"/>
  <c r="H59" i="10"/>
  <c r="I59" i="10" s="1"/>
  <c r="H58" i="10"/>
  <c r="I58" i="10" s="1"/>
  <c r="H57" i="10"/>
  <c r="I57" i="10" s="1"/>
  <c r="H56" i="10"/>
  <c r="I56" i="10" s="1"/>
  <c r="H55" i="10"/>
  <c r="I55" i="10" s="1"/>
  <c r="H54" i="10"/>
  <c r="I54" i="10" s="1"/>
  <c r="H53" i="10"/>
  <c r="I53" i="10" s="1"/>
  <c r="H52" i="10"/>
  <c r="I52" i="10" s="1"/>
  <c r="H51" i="10"/>
  <c r="I51" i="10" s="1"/>
  <c r="H50" i="10"/>
  <c r="I50" i="10" s="1"/>
  <c r="H49" i="10"/>
  <c r="I49" i="10" s="1"/>
  <c r="H48" i="10"/>
  <c r="I48" i="10" s="1"/>
  <c r="H47" i="10"/>
  <c r="I47" i="10" s="1"/>
  <c r="H46" i="10"/>
  <c r="I46" i="10" s="1"/>
  <c r="H45" i="10"/>
  <c r="I45" i="10" s="1"/>
  <c r="H44" i="10"/>
  <c r="I44" i="10" s="1"/>
  <c r="H43" i="10"/>
  <c r="I43" i="10" s="1"/>
  <c r="H42" i="10"/>
  <c r="I42" i="10" s="1"/>
  <c r="H41" i="10"/>
  <c r="I41" i="10" s="1"/>
  <c r="H40" i="10"/>
  <c r="I40" i="10" s="1"/>
  <c r="H39" i="10"/>
  <c r="I39" i="10" s="1"/>
  <c r="H38" i="10"/>
  <c r="I38" i="10" s="1"/>
  <c r="H37" i="10"/>
  <c r="I37" i="10" s="1"/>
  <c r="H36" i="10"/>
  <c r="I36" i="10" s="1"/>
  <c r="H35" i="10"/>
  <c r="I35" i="10" s="1"/>
  <c r="H34" i="10"/>
  <c r="I34" i="10" s="1"/>
  <c r="H33" i="10"/>
  <c r="I33" i="10" s="1"/>
  <c r="H32" i="10"/>
  <c r="I32" i="10" s="1"/>
  <c r="H31" i="10"/>
  <c r="I31" i="10" s="1"/>
  <c r="H30" i="10"/>
  <c r="I30" i="10" s="1"/>
  <c r="H29" i="10"/>
  <c r="I29" i="10" s="1"/>
  <c r="H28" i="10"/>
  <c r="I28" i="10" s="1"/>
  <c r="H27" i="10"/>
  <c r="I27" i="10" s="1"/>
  <c r="H26" i="10"/>
  <c r="I26" i="10" s="1"/>
  <c r="H25" i="10"/>
  <c r="I25" i="10" s="1"/>
  <c r="H24" i="10"/>
  <c r="I24" i="10" s="1"/>
  <c r="H23" i="10"/>
  <c r="I23" i="10" s="1"/>
  <c r="H22" i="10"/>
  <c r="I22" i="10" s="1"/>
  <c r="H21" i="10"/>
  <c r="I21" i="10" s="1"/>
  <c r="H20" i="10"/>
  <c r="I20" i="10" s="1"/>
  <c r="H19" i="10"/>
  <c r="I19" i="10" s="1"/>
  <c r="H18" i="10"/>
  <c r="I18" i="10" s="1"/>
  <c r="H17" i="10"/>
  <c r="I17" i="10" s="1"/>
  <c r="H16" i="10"/>
  <c r="I16" i="10" s="1"/>
  <c r="H15" i="10"/>
  <c r="I15" i="10" s="1"/>
  <c r="H14" i="10"/>
  <c r="I14" i="10" s="1"/>
  <c r="H13" i="10"/>
  <c r="I13" i="10" s="1"/>
  <c r="H12" i="10"/>
  <c r="I12" i="10" s="1"/>
  <c r="H11" i="10"/>
  <c r="I11" i="10" s="1"/>
  <c r="H10" i="10"/>
  <c r="I10" i="10" s="1"/>
  <c r="H9" i="10"/>
  <c r="I9" i="10" s="1"/>
  <c r="H8" i="10"/>
  <c r="I8" i="10" s="1"/>
  <c r="H7" i="10"/>
  <c r="I7" i="10" s="1"/>
  <c r="H6" i="10"/>
  <c r="I6" i="10" s="1"/>
  <c r="J5" i="10"/>
  <c r="H5" i="10"/>
  <c r="I5" i="10" s="1"/>
  <c r="J4" i="10"/>
  <c r="H4" i="10"/>
  <c r="I4" i="10" s="1"/>
  <c r="J3" i="10"/>
  <c r="H3" i="10"/>
  <c r="I3" i="10" s="1"/>
  <c r="J2" i="10"/>
  <c r="H2" i="10"/>
  <c r="I2" i="10" s="1"/>
  <c r="J3" i="1"/>
  <c r="J4" i="1"/>
  <c r="J5" i="1"/>
  <c r="J2" i="1"/>
  <c r="H399" i="1"/>
  <c r="I399" i="1" s="1"/>
  <c r="H405" i="1"/>
  <c r="I405" i="1" s="1"/>
  <c r="H408" i="1"/>
  <c r="I408" i="1" s="1"/>
  <c r="H391" i="1"/>
  <c r="I391" i="1" s="1"/>
  <c r="H383" i="1"/>
  <c r="I383" i="1" s="1"/>
  <c r="H103" i="1"/>
  <c r="I103" i="1" s="1"/>
  <c r="H100" i="1"/>
  <c r="I100" i="1" s="1"/>
  <c r="H483" i="1"/>
  <c r="I483" i="1" s="1"/>
  <c r="H104" i="1"/>
  <c r="I104" i="1" s="1"/>
  <c r="H490" i="1"/>
  <c r="I490" i="1" s="1"/>
  <c r="H581" i="1"/>
  <c r="I581" i="1" s="1"/>
  <c r="H587" i="1"/>
  <c r="I587" i="1" s="1"/>
  <c r="H111" i="1"/>
  <c r="I111" i="1" s="1"/>
  <c r="H519" i="1"/>
  <c r="I519" i="1" s="1"/>
  <c r="H529" i="1"/>
  <c r="I529" i="1" s="1"/>
  <c r="H106" i="1"/>
  <c r="I106" i="1" s="1"/>
  <c r="H367" i="1"/>
  <c r="I367" i="1" s="1"/>
  <c r="H122" i="1"/>
  <c r="I122" i="1" s="1"/>
  <c r="H109" i="1"/>
  <c r="I109" i="1" s="1"/>
  <c r="H520" i="1"/>
  <c r="I520" i="1" s="1"/>
  <c r="H440" i="1"/>
  <c r="I440" i="1" s="1"/>
  <c r="H506" i="1"/>
  <c r="I506" i="1" s="1"/>
  <c r="H381" i="1"/>
  <c r="I381" i="1" s="1"/>
  <c r="H576" i="1"/>
  <c r="I576" i="1" s="1"/>
  <c r="H376" i="1"/>
  <c r="I376" i="1" s="1"/>
  <c r="H99" i="1"/>
  <c r="I99" i="1" s="1"/>
  <c r="H119" i="1"/>
  <c r="I119" i="1" s="1"/>
  <c r="H435" i="1"/>
  <c r="I435" i="1" s="1"/>
  <c r="H461" i="1"/>
  <c r="I461" i="1" s="1"/>
  <c r="H125" i="1"/>
  <c r="I125" i="1" s="1"/>
  <c r="H570" i="1"/>
  <c r="I570" i="1" s="1"/>
  <c r="H504" i="1"/>
  <c r="I504" i="1" s="1"/>
  <c r="H547" i="1"/>
  <c r="I547" i="1" s="1"/>
  <c r="H115" i="1"/>
  <c r="I115" i="1" s="1"/>
  <c r="H120" i="1"/>
  <c r="I120" i="1" s="1"/>
  <c r="H424" i="1"/>
  <c r="I424" i="1" s="1"/>
  <c r="H371" i="1"/>
  <c r="I371" i="1" s="1"/>
  <c r="H516" i="1"/>
  <c r="I516" i="1" s="1"/>
  <c r="H451" i="1"/>
  <c r="I451" i="1" s="1"/>
  <c r="H499" i="1"/>
  <c r="I499" i="1" s="1"/>
  <c r="H362" i="1"/>
  <c r="I362" i="1" s="1"/>
  <c r="H78" i="1"/>
  <c r="I78" i="1" s="1"/>
  <c r="H564" i="1"/>
  <c r="I564" i="1" s="1"/>
  <c r="H130" i="1"/>
  <c r="I130" i="1" s="1"/>
  <c r="H574" i="1"/>
  <c r="I574" i="1" s="1"/>
  <c r="H525" i="1"/>
  <c r="I525" i="1" s="1"/>
  <c r="H545" i="1"/>
  <c r="I545" i="1" s="1"/>
  <c r="H556" i="1"/>
  <c r="I556" i="1" s="1"/>
  <c r="H562" i="1"/>
  <c r="I562" i="1" s="1"/>
  <c r="H532" i="1"/>
  <c r="I532" i="1" s="1"/>
  <c r="H517" i="1"/>
  <c r="I517" i="1" s="1"/>
  <c r="H394" i="1"/>
  <c r="I394" i="1" s="1"/>
  <c r="H539" i="1"/>
  <c r="I539" i="1" s="1"/>
  <c r="H458" i="1"/>
  <c r="I458" i="1" s="1"/>
  <c r="H523" i="1"/>
  <c r="I523" i="1" s="1"/>
  <c r="H567" i="1"/>
  <c r="I567" i="1" s="1"/>
  <c r="H470" i="1"/>
  <c r="I470" i="1" s="1"/>
  <c r="H446" i="1"/>
  <c r="I446" i="1" s="1"/>
  <c r="H133" i="1"/>
  <c r="I133" i="1" s="1"/>
  <c r="H448" i="1"/>
  <c r="I448" i="1" s="1"/>
  <c r="H359" i="1"/>
  <c r="I359" i="1" s="1"/>
  <c r="H439" i="1"/>
  <c r="I439" i="1" s="1"/>
  <c r="H429" i="1"/>
  <c r="I429" i="1" s="1"/>
  <c r="H450" i="1"/>
  <c r="I450" i="1" s="1"/>
  <c r="H585" i="1"/>
  <c r="I585" i="1" s="1"/>
  <c r="H500" i="1"/>
  <c r="I500" i="1" s="1"/>
  <c r="H97" i="1"/>
  <c r="I97" i="1" s="1"/>
  <c r="H455" i="1"/>
  <c r="I455" i="1" s="1"/>
  <c r="H480" i="1"/>
  <c r="I480" i="1" s="1"/>
  <c r="H491" i="1"/>
  <c r="I491" i="1" s="1"/>
  <c r="H398" i="1"/>
  <c r="I398" i="1" s="1"/>
  <c r="H392" i="1"/>
  <c r="I392" i="1" s="1"/>
  <c r="H476" i="1"/>
  <c r="I476" i="1" s="1"/>
  <c r="H496" i="1"/>
  <c r="I496" i="1" s="1"/>
  <c r="H475" i="1"/>
  <c r="I475" i="1" s="1"/>
  <c r="H471" i="1"/>
  <c r="I471" i="1" s="1"/>
  <c r="H513" i="1"/>
  <c r="I513" i="1" s="1"/>
  <c r="H61" i="1"/>
  <c r="I61" i="1" s="1"/>
  <c r="H373" i="1"/>
  <c r="I373" i="1" s="1"/>
  <c r="H418" i="1"/>
  <c r="I418" i="1" s="1"/>
  <c r="H361" i="1"/>
  <c r="I361" i="1" s="1"/>
  <c r="H485" i="1"/>
  <c r="I485" i="1" s="1"/>
  <c r="H507" i="1"/>
  <c r="I507" i="1" s="1"/>
  <c r="H132" i="1"/>
  <c r="I132" i="1" s="1"/>
  <c r="H472" i="1"/>
  <c r="I472" i="1" s="1"/>
  <c r="H488" i="1"/>
  <c r="I488" i="1" s="1"/>
  <c r="H441" i="1"/>
  <c r="I441" i="1" s="1"/>
  <c r="H521" i="1"/>
  <c r="I521" i="1" s="1"/>
  <c r="H430" i="1"/>
  <c r="I430" i="1" s="1"/>
  <c r="H478" i="1"/>
  <c r="I478" i="1" s="1"/>
  <c r="H586" i="1"/>
  <c r="I586" i="1" s="1"/>
  <c r="H87" i="1"/>
  <c r="I87" i="1" s="1"/>
  <c r="H436" i="1"/>
  <c r="I436" i="1" s="1"/>
  <c r="H409" i="1"/>
  <c r="I409" i="1" s="1"/>
  <c r="H456" i="1"/>
  <c r="I456" i="1" s="1"/>
  <c r="H580" i="1"/>
  <c r="I580" i="1" s="1"/>
  <c r="H526" i="1"/>
  <c r="I526" i="1" s="1"/>
  <c r="H579" i="1"/>
  <c r="I579" i="1" s="1"/>
  <c r="H592" i="1"/>
  <c r="I592" i="1" s="1"/>
  <c r="H479" i="1"/>
  <c r="I479" i="1" s="1"/>
  <c r="H553" i="1"/>
  <c r="I553" i="1" s="1"/>
  <c r="H518" i="1"/>
  <c r="I518" i="1" s="1"/>
  <c r="H425" i="1"/>
  <c r="I425" i="1" s="1"/>
  <c r="H568" i="1"/>
  <c r="I568" i="1" s="1"/>
  <c r="H397" i="1"/>
  <c r="I397" i="1" s="1"/>
  <c r="H184" i="1"/>
  <c r="I184" i="1" s="1"/>
  <c r="H170" i="1"/>
  <c r="I170" i="1" s="1"/>
  <c r="H189" i="1"/>
  <c r="I189" i="1" s="1"/>
  <c r="H493" i="1"/>
  <c r="I493" i="1" s="1"/>
  <c r="H552" i="1"/>
  <c r="I552" i="1" s="1"/>
  <c r="H379" i="1"/>
  <c r="I379" i="1" s="1"/>
  <c r="H382" i="1"/>
  <c r="I382" i="1" s="1"/>
  <c r="H215" i="1"/>
  <c r="I215" i="1" s="1"/>
  <c r="H454" i="1"/>
  <c r="I454" i="1" s="1"/>
  <c r="H365" i="1"/>
  <c r="I365" i="1" s="1"/>
  <c r="H353" i="1"/>
  <c r="I353" i="1" s="1"/>
  <c r="H356" i="1"/>
  <c r="I356" i="1" s="1"/>
  <c r="H560" i="1"/>
  <c r="I560" i="1" s="1"/>
  <c r="H321" i="1"/>
  <c r="I321" i="1" s="1"/>
  <c r="H292" i="1"/>
  <c r="I292" i="1" s="1"/>
  <c r="H384" i="1"/>
  <c r="I384" i="1" s="1"/>
  <c r="H74" i="1"/>
  <c r="I74" i="1" s="1"/>
  <c r="H577" i="1"/>
  <c r="I577" i="1" s="1"/>
  <c r="H66" i="1"/>
  <c r="I66" i="1" s="1"/>
  <c r="H24" i="1"/>
  <c r="I24" i="1" s="1"/>
  <c r="H187" i="1"/>
  <c r="I187" i="1" s="1"/>
  <c r="H522" i="1"/>
  <c r="I522" i="1" s="1"/>
  <c r="H453" i="1"/>
  <c r="I453" i="1" s="1"/>
  <c r="H179" i="1"/>
  <c r="I179" i="1" s="1"/>
  <c r="H538" i="1"/>
  <c r="I538" i="1" s="1"/>
  <c r="H153" i="1"/>
  <c r="I153" i="1" s="1"/>
  <c r="H548" i="1"/>
  <c r="I548" i="1" s="1"/>
  <c r="H327" i="1"/>
  <c r="I327" i="1" s="1"/>
  <c r="H13" i="1"/>
  <c r="I13" i="1" s="1"/>
  <c r="H481" i="1"/>
  <c r="I481" i="1" s="1"/>
  <c r="H218" i="1"/>
  <c r="I218" i="1" s="1"/>
  <c r="H558" i="1"/>
  <c r="I558" i="1" s="1"/>
  <c r="H259" i="1"/>
  <c r="I259" i="1" s="1"/>
  <c r="H512" i="1"/>
  <c r="I512" i="1" s="1"/>
  <c r="H291" i="1"/>
  <c r="I291" i="1" s="1"/>
  <c r="H503" i="1"/>
  <c r="I503" i="1" s="1"/>
  <c r="H183" i="1"/>
  <c r="I183" i="1" s="1"/>
  <c r="H136" i="1"/>
  <c r="I136" i="1" s="1"/>
  <c r="H467" i="1"/>
  <c r="I467" i="1" s="1"/>
  <c r="H589" i="1"/>
  <c r="I589" i="1" s="1"/>
  <c r="H239" i="1"/>
  <c r="I239" i="1" s="1"/>
  <c r="H16" i="1"/>
  <c r="I16" i="1" s="1"/>
  <c r="H252" i="1"/>
  <c r="I252" i="1" s="1"/>
  <c r="H216" i="1"/>
  <c r="I216" i="1" s="1"/>
  <c r="H385" i="1"/>
  <c r="I385" i="1" s="1"/>
  <c r="H370" i="1"/>
  <c r="I370" i="1" s="1"/>
  <c r="H492" i="1"/>
  <c r="I492" i="1" s="1"/>
  <c r="H497" i="1"/>
  <c r="I497" i="1" s="1"/>
  <c r="H289" i="1"/>
  <c r="I289" i="1" s="1"/>
  <c r="H234" i="1"/>
  <c r="I234" i="1" s="1"/>
  <c r="H251" i="1"/>
  <c r="I251" i="1" s="1"/>
  <c r="H415" i="1"/>
  <c r="I415" i="1" s="1"/>
  <c r="H175" i="1"/>
  <c r="I175" i="1" s="1"/>
  <c r="H29" i="1"/>
  <c r="I29" i="1" s="1"/>
  <c r="H32" i="1"/>
  <c r="I32" i="1" s="1"/>
  <c r="H569" i="1"/>
  <c r="I569" i="1" s="1"/>
  <c r="H482" i="1"/>
  <c r="I482" i="1" s="1"/>
  <c r="H305" i="1"/>
  <c r="I305" i="1" s="1"/>
  <c r="H432" i="1"/>
  <c r="I432" i="1" s="1"/>
  <c r="H253" i="1"/>
  <c r="I253" i="1" s="1"/>
  <c r="H270" i="1"/>
  <c r="I270" i="1" s="1"/>
  <c r="H350" i="1"/>
  <c r="I350" i="1" s="1"/>
  <c r="H177" i="1"/>
  <c r="I177" i="1" s="1"/>
  <c r="H269" i="1"/>
  <c r="I269" i="1" s="1"/>
  <c r="H554" i="1"/>
  <c r="I554" i="1" s="1"/>
  <c r="H459" i="1"/>
  <c r="I459" i="1" s="1"/>
  <c r="H386" i="1"/>
  <c r="I386" i="1" s="1"/>
  <c r="H137" i="1"/>
  <c r="I137" i="1" s="1"/>
  <c r="H112" i="1"/>
  <c r="I112" i="1" s="1"/>
  <c r="H427" i="1"/>
  <c r="I427" i="1" s="1"/>
  <c r="H275" i="1"/>
  <c r="I275" i="1" s="1"/>
  <c r="H565" i="1"/>
  <c r="I565" i="1" s="1"/>
  <c r="H5" i="1"/>
  <c r="I5" i="1" s="1"/>
  <c r="H185" i="1"/>
  <c r="I185" i="1" s="1"/>
  <c r="H88" i="1"/>
  <c r="I88" i="1" s="1"/>
  <c r="H75" i="1"/>
  <c r="I75" i="1" s="1"/>
  <c r="H335" i="1"/>
  <c r="I335" i="1" s="1"/>
  <c r="H85" i="1"/>
  <c r="I85" i="1" s="1"/>
  <c r="H542" i="1"/>
  <c r="I542" i="1" s="1"/>
  <c r="H443" i="1"/>
  <c r="I443" i="1" s="1"/>
  <c r="H249" i="1"/>
  <c r="I249" i="1" s="1"/>
  <c r="H540" i="1"/>
  <c r="I540" i="1" s="1"/>
  <c r="H201" i="1"/>
  <c r="I201" i="1" s="1"/>
  <c r="H571" i="1"/>
  <c r="I571" i="1" s="1"/>
  <c r="H434" i="1"/>
  <c r="I434" i="1" s="1"/>
  <c r="H158" i="1"/>
  <c r="I158" i="1" s="1"/>
  <c r="H300" i="1"/>
  <c r="I300" i="1" s="1"/>
  <c r="H557" i="1"/>
  <c r="I557" i="1" s="1"/>
  <c r="H449" i="1"/>
  <c r="I449" i="1" s="1"/>
  <c r="H250" i="1"/>
  <c r="I250" i="1" s="1"/>
  <c r="H282" i="1"/>
  <c r="I282" i="1" s="1"/>
  <c r="H244" i="1"/>
  <c r="I244" i="1" s="1"/>
  <c r="H457" i="1"/>
  <c r="I457" i="1" s="1"/>
  <c r="H533" i="1"/>
  <c r="I533" i="1" s="1"/>
  <c r="H284" i="1"/>
  <c r="I284" i="1" s="1"/>
  <c r="H308" i="1"/>
  <c r="I308" i="1" s="1"/>
  <c r="H198" i="1"/>
  <c r="I198" i="1" s="1"/>
  <c r="H57" i="1"/>
  <c r="I57" i="1" s="1"/>
  <c r="H561" i="1"/>
  <c r="I561" i="1" s="1"/>
  <c r="H566" i="1"/>
  <c r="I566" i="1" s="1"/>
  <c r="H283" i="1"/>
  <c r="I283" i="1" s="1"/>
  <c r="H422" i="1"/>
  <c r="I422" i="1" s="1"/>
  <c r="H18" i="1"/>
  <c r="I18" i="1" s="1"/>
  <c r="H89" i="1"/>
  <c r="I89" i="1" s="1"/>
  <c r="H334" i="1"/>
  <c r="I334" i="1" s="1"/>
  <c r="H363" i="1"/>
  <c r="I363" i="1" s="1"/>
  <c r="H207" i="1"/>
  <c r="I207" i="1" s="1"/>
  <c r="H262" i="1"/>
  <c r="I262" i="1" s="1"/>
  <c r="H489" i="1"/>
  <c r="I489" i="1" s="1"/>
  <c r="H309" i="1"/>
  <c r="I309" i="1" s="1"/>
  <c r="H360" i="1"/>
  <c r="I360" i="1" s="1"/>
  <c r="H17" i="1"/>
  <c r="I17" i="1" s="1"/>
  <c r="H295" i="1"/>
  <c r="I295" i="1" s="1"/>
  <c r="H534" i="1"/>
  <c r="I534" i="1" s="1"/>
  <c r="H324" i="1"/>
  <c r="I324" i="1" s="1"/>
  <c r="H343" i="1"/>
  <c r="I343" i="1" s="1"/>
  <c r="H413" i="1"/>
  <c r="I413" i="1" s="1"/>
  <c r="H486" i="1"/>
  <c r="I486" i="1" s="1"/>
  <c r="H314" i="1"/>
  <c r="I314" i="1" s="1"/>
  <c r="H135" i="1"/>
  <c r="I135" i="1" s="1"/>
  <c r="H146" i="1"/>
  <c r="I146" i="1" s="1"/>
  <c r="H573" i="1"/>
  <c r="I573" i="1" s="1"/>
  <c r="H293" i="1"/>
  <c r="I293" i="1" s="1"/>
  <c r="H340" i="1"/>
  <c r="I340" i="1" s="1"/>
  <c r="H368" i="1"/>
  <c r="I368" i="1" s="1"/>
  <c r="H407" i="1"/>
  <c r="I407" i="1" s="1"/>
  <c r="H463" i="1"/>
  <c r="I463" i="1" s="1"/>
  <c r="H261" i="1"/>
  <c r="I261" i="1" s="1"/>
  <c r="H229" i="1"/>
  <c r="I229" i="1" s="1"/>
  <c r="H210" i="1"/>
  <c r="I210" i="1" s="1"/>
  <c r="H14" i="1"/>
  <c r="I14" i="1" s="1"/>
  <c r="H39" i="1"/>
  <c r="I39" i="1" s="1"/>
  <c r="H195" i="1"/>
  <c r="I195" i="1" s="1"/>
  <c r="H364" i="1"/>
  <c r="I364" i="1" s="1"/>
  <c r="H508" i="1"/>
  <c r="I508" i="1" s="1"/>
  <c r="H206" i="1"/>
  <c r="I206" i="1" s="1"/>
  <c r="H220" i="1"/>
  <c r="I220" i="1" s="1"/>
  <c r="H304" i="1"/>
  <c r="I304" i="1" s="1"/>
  <c r="H96" i="1"/>
  <c r="I96" i="1" s="1"/>
  <c r="H294" i="1"/>
  <c r="I294" i="1" s="1"/>
  <c r="H123" i="1"/>
  <c r="I123" i="1" s="1"/>
  <c r="H243" i="1"/>
  <c r="I243" i="1" s="1"/>
  <c r="H221" i="1"/>
  <c r="I221" i="1" s="1"/>
  <c r="H94" i="1"/>
  <c r="I94" i="1" s="1"/>
  <c r="H352" i="1"/>
  <c r="I352" i="1" s="1"/>
  <c r="H344" i="1"/>
  <c r="I344" i="1" s="1"/>
  <c r="H406" i="1"/>
  <c r="I406" i="1" s="1"/>
  <c r="H141" i="1"/>
  <c r="I141" i="1" s="1"/>
  <c r="H44" i="1"/>
  <c r="I44" i="1" s="1"/>
  <c r="H197" i="1"/>
  <c r="I197" i="1" s="1"/>
  <c r="H148" i="1"/>
  <c r="I148" i="1" s="1"/>
  <c r="H594" i="1"/>
  <c r="I594" i="1" s="1"/>
  <c r="H8" i="1"/>
  <c r="I8" i="1" s="1"/>
  <c r="H49" i="1"/>
  <c r="I49" i="1" s="1"/>
  <c r="H550" i="1"/>
  <c r="I550" i="1" s="1"/>
  <c r="H28" i="1"/>
  <c r="I28" i="1" s="1"/>
  <c r="H105" i="1"/>
  <c r="I105" i="1" s="1"/>
  <c r="H336" i="1"/>
  <c r="I336" i="1" s="1"/>
  <c r="H58" i="1"/>
  <c r="I58" i="1" s="1"/>
  <c r="H297" i="1"/>
  <c r="I297" i="1" s="1"/>
  <c r="H33" i="1"/>
  <c r="I33" i="1" s="1"/>
  <c r="H431" i="1"/>
  <c r="I431" i="1" s="1"/>
  <c r="H152" i="1"/>
  <c r="I152" i="1" s="1"/>
  <c r="H531" i="1"/>
  <c r="I531" i="1" s="1"/>
  <c r="H68" i="1"/>
  <c r="I68" i="1" s="1"/>
  <c r="H144" i="1"/>
  <c r="I144" i="1" s="1"/>
  <c r="H107" i="1"/>
  <c r="I107" i="1" s="1"/>
  <c r="H273" i="1"/>
  <c r="I273" i="1" s="1"/>
  <c r="H323" i="1"/>
  <c r="I323" i="1" s="1"/>
  <c r="H181" i="1"/>
  <c r="I181" i="1" s="1"/>
  <c r="H596" i="1"/>
  <c r="I596" i="1" s="1"/>
  <c r="H155" i="1"/>
  <c r="I155" i="1" s="1"/>
  <c r="H173" i="1"/>
  <c r="I173" i="1" s="1"/>
  <c r="H232" i="1"/>
  <c r="I232" i="1" s="1"/>
  <c r="H541" i="1"/>
  <c r="I541" i="1" s="1"/>
  <c r="H254" i="1"/>
  <c r="I254" i="1" s="1"/>
  <c r="H537" i="1"/>
  <c r="I537" i="1" s="1"/>
  <c r="H186" i="1"/>
  <c r="I186" i="1" s="1"/>
  <c r="H2" i="1"/>
  <c r="I2" i="1" s="1"/>
  <c r="H404" i="1"/>
  <c r="I404" i="1" s="1"/>
  <c r="H114" i="1"/>
  <c r="I114" i="1" s="1"/>
  <c r="H341" i="1"/>
  <c r="I341" i="1" s="1"/>
  <c r="H267" i="1"/>
  <c r="I267" i="1" s="1"/>
  <c r="H62" i="1"/>
  <c r="I62" i="1" s="1"/>
  <c r="H338" i="1"/>
  <c r="I338" i="1" s="1"/>
  <c r="H240" i="1"/>
  <c r="I240" i="1" s="1"/>
  <c r="H255" i="1"/>
  <c r="I255" i="1" s="1"/>
  <c r="H192" i="1"/>
  <c r="I192" i="1" s="1"/>
  <c r="H401" i="1"/>
  <c r="I401" i="1" s="1"/>
  <c r="H90" i="1"/>
  <c r="I90" i="1" s="1"/>
  <c r="H256" i="1"/>
  <c r="I256" i="1" s="1"/>
  <c r="H63" i="1"/>
  <c r="I63" i="1" s="1"/>
  <c r="H92" i="1"/>
  <c r="I92" i="1" s="1"/>
  <c r="H214" i="1"/>
  <c r="I214" i="1" s="1"/>
  <c r="H582" i="1"/>
  <c r="I582" i="1" s="1"/>
  <c r="H204" i="1"/>
  <c r="I204" i="1" s="1"/>
  <c r="H67" i="1"/>
  <c r="I67" i="1" s="1"/>
  <c r="H134" i="1"/>
  <c r="I134" i="1" s="1"/>
  <c r="H159" i="1"/>
  <c r="I159" i="1" s="1"/>
  <c r="H351" i="1"/>
  <c r="I351" i="1" s="1"/>
  <c r="H21" i="1"/>
  <c r="I21" i="1" s="1"/>
  <c r="H237" i="1"/>
  <c r="I237" i="1" s="1"/>
  <c r="H494" i="1"/>
  <c r="I494" i="1" s="1"/>
  <c r="H318" i="1"/>
  <c r="I318" i="1" s="1"/>
  <c r="H530" i="1"/>
  <c r="I530" i="1" s="1"/>
  <c r="H495" i="1"/>
  <c r="I495" i="1" s="1"/>
  <c r="H12" i="1"/>
  <c r="I12" i="1" s="1"/>
  <c r="H236" i="1"/>
  <c r="I236" i="1" s="1"/>
  <c r="H572" i="1"/>
  <c r="I572" i="1" s="1"/>
  <c r="H328" i="1"/>
  <c r="I328" i="1" s="1"/>
  <c r="H410" i="1"/>
  <c r="I410" i="1" s="1"/>
  <c r="H25" i="1"/>
  <c r="I25" i="1" s="1"/>
  <c r="H83" i="1"/>
  <c r="I83" i="1" s="1"/>
  <c r="H369" i="1"/>
  <c r="I369" i="1" s="1"/>
  <c r="H208" i="1"/>
  <c r="I208" i="1" s="1"/>
  <c r="H71" i="1"/>
  <c r="I71" i="1" s="1"/>
  <c r="H180" i="1"/>
  <c r="I180" i="1" s="1"/>
  <c r="H26" i="1"/>
  <c r="I26" i="1" s="1"/>
  <c r="H36" i="1"/>
  <c r="I36" i="1" s="1"/>
  <c r="H268" i="1"/>
  <c r="I268" i="1" s="1"/>
  <c r="H247" i="1"/>
  <c r="I247" i="1" s="1"/>
  <c r="H329" i="1"/>
  <c r="I329" i="1" s="1"/>
  <c r="H238" i="1"/>
  <c r="I238" i="1" s="1"/>
  <c r="H19" i="1"/>
  <c r="I19" i="1" s="1"/>
  <c r="H233" i="1"/>
  <c r="I233" i="1" s="1"/>
  <c r="H271" i="1"/>
  <c r="I271" i="1" s="1"/>
  <c r="H462" i="1"/>
  <c r="I462" i="1" s="1"/>
  <c r="H312" i="1"/>
  <c r="I312" i="1" s="1"/>
  <c r="H465" i="1"/>
  <c r="I465" i="1" s="1"/>
  <c r="H420" i="1"/>
  <c r="I420" i="1" s="1"/>
  <c r="H56" i="1"/>
  <c r="I56" i="1" s="1"/>
  <c r="H514" i="1"/>
  <c r="I514" i="1" s="1"/>
  <c r="H241" i="1"/>
  <c r="I241" i="1" s="1"/>
  <c r="H505" i="1"/>
  <c r="I505" i="1" s="1"/>
  <c r="H6" i="1"/>
  <c r="I6" i="1" s="1"/>
  <c r="H527" i="1"/>
  <c r="I527" i="1" s="1"/>
  <c r="H205" i="1"/>
  <c r="I205" i="1" s="1"/>
  <c r="H23" i="1"/>
  <c r="I23" i="1" s="1"/>
  <c r="H81" i="1"/>
  <c r="I81" i="1" s="1"/>
  <c r="H248" i="1"/>
  <c r="I248" i="1" s="1"/>
  <c r="H468" i="1"/>
  <c r="I468" i="1" s="1"/>
  <c r="H515" i="1"/>
  <c r="I515" i="1" s="1"/>
  <c r="H223" i="1"/>
  <c r="I223" i="1" s="1"/>
  <c r="H199" i="1"/>
  <c r="I199" i="1" s="1"/>
  <c r="H54" i="1"/>
  <c r="I54" i="1" s="1"/>
  <c r="H11" i="1"/>
  <c r="I11" i="1" s="1"/>
  <c r="H53" i="1"/>
  <c r="I53" i="1" s="1"/>
  <c r="H37" i="1"/>
  <c r="I37" i="1" s="1"/>
  <c r="H279" i="1"/>
  <c r="I279" i="1" s="1"/>
  <c r="H213" i="1"/>
  <c r="I213" i="1" s="1"/>
  <c r="H3" i="1"/>
  <c r="I3" i="1" s="1"/>
  <c r="H200" i="1"/>
  <c r="I200" i="1" s="1"/>
  <c r="H176" i="1"/>
  <c r="I176" i="1" s="1"/>
  <c r="H322" i="1"/>
  <c r="I322" i="1" s="1"/>
  <c r="H498" i="1"/>
  <c r="I498" i="1" s="1"/>
  <c r="H346" i="1"/>
  <c r="I346" i="1" s="1"/>
  <c r="H160" i="1"/>
  <c r="I160" i="1" s="1"/>
  <c r="H549" i="1"/>
  <c r="I549" i="1" s="1"/>
  <c r="H47" i="1"/>
  <c r="I47" i="1" s="1"/>
  <c r="H95" i="1"/>
  <c r="I95" i="1" s="1"/>
  <c r="H444" i="1"/>
  <c r="I444" i="1" s="1"/>
  <c r="H411" i="1"/>
  <c r="I411" i="1" s="1"/>
  <c r="H245" i="1"/>
  <c r="I245" i="1" s="1"/>
  <c r="H222" i="1"/>
  <c r="I222" i="1" s="1"/>
  <c r="H590" i="1"/>
  <c r="I590" i="1" s="1"/>
  <c r="H393" i="1"/>
  <c r="I393" i="1" s="1"/>
  <c r="H423" i="1"/>
  <c r="I423" i="1" s="1"/>
  <c r="H266" i="1"/>
  <c r="I266" i="1" s="1"/>
  <c r="H162" i="1"/>
  <c r="I162" i="1" s="1"/>
  <c r="H502" i="1"/>
  <c r="I502" i="1" s="1"/>
  <c r="H426" i="1"/>
  <c r="I426" i="1" s="1"/>
  <c r="H349" i="1"/>
  <c r="I349" i="1" s="1"/>
  <c r="H166" i="1"/>
  <c r="I166" i="1" s="1"/>
  <c r="H546" i="1"/>
  <c r="I546" i="1" s="1"/>
  <c r="H43" i="1"/>
  <c r="I43" i="1" s="1"/>
  <c r="H357" i="1"/>
  <c r="I357" i="1" s="1"/>
  <c r="H298" i="1"/>
  <c r="I298" i="1" s="1"/>
  <c r="H143" i="1"/>
  <c r="I143" i="1" s="1"/>
  <c r="H164" i="1"/>
  <c r="I164" i="1" s="1"/>
  <c r="H543" i="1"/>
  <c r="I543" i="1" s="1"/>
  <c r="H598" i="1"/>
  <c r="I598" i="1" s="1"/>
  <c r="H127" i="1"/>
  <c r="I127" i="1" s="1"/>
  <c r="H246" i="1"/>
  <c r="I246" i="1" s="1"/>
  <c r="H145" i="1"/>
  <c r="I145" i="1" s="1"/>
  <c r="H168" i="1"/>
  <c r="I168" i="1" s="1"/>
  <c r="H555" i="1"/>
  <c r="I555" i="1" s="1"/>
  <c r="H38" i="1"/>
  <c r="I38" i="1" s="1"/>
  <c r="H59" i="1"/>
  <c r="I59" i="1" s="1"/>
  <c r="H524" i="1"/>
  <c r="I524" i="1" s="1"/>
  <c r="H60" i="1"/>
  <c r="I60" i="1" s="1"/>
  <c r="H258" i="1"/>
  <c r="I258" i="1" s="1"/>
  <c r="H4" i="1"/>
  <c r="I4" i="1" s="1"/>
  <c r="H438" i="1"/>
  <c r="I438" i="1" s="1"/>
  <c r="H276" i="1"/>
  <c r="I276" i="1" s="1"/>
  <c r="H319" i="1"/>
  <c r="I319" i="1" s="1"/>
  <c r="H124" i="1"/>
  <c r="I124" i="1" s="1"/>
  <c r="H331" i="1"/>
  <c r="I331" i="1" s="1"/>
  <c r="H325" i="1"/>
  <c r="I325" i="1" s="1"/>
  <c r="H171" i="1"/>
  <c r="I171" i="1" s="1"/>
  <c r="H274" i="1"/>
  <c r="I274" i="1" s="1"/>
  <c r="H113" i="1"/>
  <c r="I113" i="1" s="1"/>
  <c r="H40" i="1"/>
  <c r="I40" i="1" s="1"/>
  <c r="H347" i="1"/>
  <c r="I347" i="1" s="1"/>
  <c r="H265" i="1"/>
  <c r="I265" i="1" s="1"/>
  <c r="H477" i="1"/>
  <c r="I477" i="1" s="1"/>
  <c r="H583" i="1"/>
  <c r="I583" i="1" s="1"/>
  <c r="H211" i="1"/>
  <c r="I211" i="1" s="1"/>
  <c r="H372" i="1"/>
  <c r="I372" i="1" s="1"/>
  <c r="H31" i="1"/>
  <c r="I31" i="1" s="1"/>
  <c r="H584" i="1"/>
  <c r="I584" i="1" s="1"/>
  <c r="H591" i="1"/>
  <c r="I591" i="1" s="1"/>
  <c r="H578" i="1"/>
  <c r="I578" i="1" s="1"/>
  <c r="H139" i="1"/>
  <c r="I139" i="1" s="1"/>
  <c r="H7" i="1"/>
  <c r="I7" i="1" s="1"/>
  <c r="H86" i="1"/>
  <c r="I86" i="1" s="1"/>
  <c r="H140" i="1"/>
  <c r="I140" i="1" s="1"/>
  <c r="H536" i="1"/>
  <c r="I536" i="1" s="1"/>
  <c r="H188" i="1"/>
  <c r="I188" i="1" s="1"/>
  <c r="H313" i="1"/>
  <c r="I313" i="1" s="1"/>
  <c r="H217" i="1"/>
  <c r="I217" i="1" s="1"/>
  <c r="H380" i="1"/>
  <c r="I380" i="1" s="1"/>
  <c r="H72" i="1"/>
  <c r="I72" i="1" s="1"/>
  <c r="H375" i="1"/>
  <c r="I375" i="1" s="1"/>
  <c r="H445" i="1"/>
  <c r="I445" i="1" s="1"/>
  <c r="H412" i="1"/>
  <c r="I412" i="1" s="1"/>
  <c r="H332" i="1"/>
  <c r="I332" i="1" s="1"/>
  <c r="H484" i="1"/>
  <c r="I484" i="1" s="1"/>
  <c r="H212" i="1"/>
  <c r="I212" i="1" s="1"/>
  <c r="H209" i="1"/>
  <c r="I209" i="1" s="1"/>
  <c r="H224" i="1"/>
  <c r="I224" i="1" s="1"/>
  <c r="H64" i="1"/>
  <c r="I64" i="1" s="1"/>
  <c r="H235" i="1"/>
  <c r="I235" i="1" s="1"/>
  <c r="H138" i="1"/>
  <c r="I138" i="1" s="1"/>
  <c r="H355" i="1"/>
  <c r="I355" i="1" s="1"/>
  <c r="H15" i="1"/>
  <c r="I15" i="1" s="1"/>
  <c r="H528" i="1"/>
  <c r="I528" i="1" s="1"/>
  <c r="H416" i="1"/>
  <c r="I416" i="1" s="1"/>
  <c r="H203" i="1"/>
  <c r="I203" i="1" s="1"/>
  <c r="H73" i="1"/>
  <c r="I73" i="1" s="1"/>
  <c r="H419" i="1"/>
  <c r="I419" i="1" s="1"/>
  <c r="H402" i="1"/>
  <c r="I402" i="1" s="1"/>
  <c r="H544" i="1"/>
  <c r="I544" i="1" s="1"/>
  <c r="H41" i="1"/>
  <c r="I41" i="1" s="1"/>
  <c r="H172" i="1"/>
  <c r="I172" i="1" s="1"/>
  <c r="H469" i="1"/>
  <c r="I469" i="1" s="1"/>
  <c r="H50" i="1"/>
  <c r="I50" i="1" s="1"/>
  <c r="H286" i="1"/>
  <c r="I286" i="1" s="1"/>
  <c r="H142" i="1"/>
  <c r="I142" i="1" s="1"/>
  <c r="H417" i="1"/>
  <c r="I417" i="1" s="1"/>
  <c r="H98" i="1"/>
  <c r="I98" i="1" s="1"/>
  <c r="H272" i="1"/>
  <c r="I272" i="1" s="1"/>
  <c r="H190" i="1"/>
  <c r="I190" i="1" s="1"/>
  <c r="H260" i="1"/>
  <c r="I260" i="1" s="1"/>
  <c r="H501" i="1"/>
  <c r="I501" i="1" s="1"/>
  <c r="H511" i="1"/>
  <c r="I511" i="1" s="1"/>
  <c r="H227" i="1"/>
  <c r="I227" i="1" s="1"/>
  <c r="H403" i="1"/>
  <c r="I403" i="1" s="1"/>
  <c r="H10" i="1"/>
  <c r="I10" i="1" s="1"/>
  <c r="H535" i="1"/>
  <c r="I535" i="1" s="1"/>
  <c r="H225" i="1"/>
  <c r="I225" i="1" s="1"/>
  <c r="H156" i="1"/>
  <c r="I156" i="1" s="1"/>
  <c r="H326" i="1"/>
  <c r="I326" i="1" s="1"/>
  <c r="H330" i="1"/>
  <c r="I330" i="1" s="1"/>
  <c r="H121" i="1"/>
  <c r="I121" i="1" s="1"/>
  <c r="H301" i="1"/>
  <c r="I301" i="1" s="1"/>
  <c r="H599" i="1"/>
  <c r="I599" i="1" s="1"/>
  <c r="H76" i="1"/>
  <c r="I76" i="1" s="1"/>
  <c r="H42" i="1"/>
  <c r="I42" i="1" s="1"/>
  <c r="H91" i="1"/>
  <c r="I91" i="1" s="1"/>
  <c r="H117" i="1"/>
  <c r="I117" i="1" s="1"/>
  <c r="H348" i="1"/>
  <c r="I348" i="1" s="1"/>
  <c r="H157" i="1"/>
  <c r="I157" i="1" s="1"/>
  <c r="H20" i="1"/>
  <c r="I20" i="1" s="1"/>
  <c r="H290" i="1"/>
  <c r="I290" i="1" s="1"/>
  <c r="H280" i="1"/>
  <c r="I280" i="1" s="1"/>
  <c r="H116" i="1"/>
  <c r="I116" i="1" s="1"/>
  <c r="H597" i="1"/>
  <c r="I597" i="1" s="1"/>
  <c r="H230" i="1"/>
  <c r="I230" i="1" s="1"/>
  <c r="H320" i="1"/>
  <c r="I320" i="1" s="1"/>
  <c r="H315" i="1"/>
  <c r="I315" i="1" s="1"/>
  <c r="H79" i="1"/>
  <c r="I79" i="1" s="1"/>
  <c r="H165" i="1"/>
  <c r="I165" i="1" s="1"/>
  <c r="H93" i="1"/>
  <c r="I93" i="1" s="1"/>
  <c r="H82" i="1"/>
  <c r="I82" i="1" s="1"/>
  <c r="H34" i="1"/>
  <c r="I34" i="1" s="1"/>
  <c r="H310" i="1"/>
  <c r="I310" i="1" s="1"/>
  <c r="H296" i="1"/>
  <c r="I296" i="1" s="1"/>
  <c r="H126" i="1"/>
  <c r="I126" i="1" s="1"/>
  <c r="H51" i="1"/>
  <c r="I51" i="1" s="1"/>
  <c r="H487" i="1"/>
  <c r="I487" i="1" s="1"/>
  <c r="H593" i="1"/>
  <c r="I593" i="1" s="1"/>
  <c r="H242" i="1"/>
  <c r="I242" i="1" s="1"/>
  <c r="H202" i="1"/>
  <c r="I202" i="1" s="1"/>
  <c r="H588" i="1"/>
  <c r="I588" i="1" s="1"/>
  <c r="H9" i="1"/>
  <c r="I9" i="1" s="1"/>
  <c r="H55" i="1"/>
  <c r="I55" i="1" s="1"/>
  <c r="H84" i="1"/>
  <c r="I84" i="1" s="1"/>
  <c r="H442" i="1"/>
  <c r="I442" i="1" s="1"/>
  <c r="H30" i="1"/>
  <c r="I30" i="1" s="1"/>
  <c r="H345" i="1"/>
  <c r="I345" i="1" s="1"/>
  <c r="H433" i="1"/>
  <c r="I433" i="1" s="1"/>
  <c r="H35" i="1"/>
  <c r="I35" i="1" s="1"/>
  <c r="H278" i="1"/>
  <c r="I278" i="1" s="1"/>
  <c r="H377" i="1"/>
  <c r="I377" i="1" s="1"/>
  <c r="H559" i="1"/>
  <c r="I559" i="1" s="1"/>
  <c r="H219" i="1"/>
  <c r="I219" i="1" s="1"/>
  <c r="H307" i="1"/>
  <c r="I307" i="1" s="1"/>
  <c r="H342" i="1"/>
  <c r="I342" i="1" s="1"/>
  <c r="H281" i="1"/>
  <c r="I281" i="1" s="1"/>
  <c r="H174" i="1"/>
  <c r="I174" i="1" s="1"/>
  <c r="H226" i="1"/>
  <c r="I226" i="1" s="1"/>
  <c r="H474" i="1"/>
  <c r="I474" i="1" s="1"/>
  <c r="H151" i="1"/>
  <c r="I151" i="1" s="1"/>
  <c r="H333" i="1"/>
  <c r="I333" i="1" s="1"/>
  <c r="H452" i="1"/>
  <c r="I452" i="1" s="1"/>
  <c r="H437" i="1"/>
  <c r="I437" i="1" s="1"/>
  <c r="H154" i="1"/>
  <c r="I154" i="1" s="1"/>
  <c r="H339" i="1"/>
  <c r="I339" i="1" s="1"/>
  <c r="H563" i="1"/>
  <c r="I563" i="1" s="1"/>
  <c r="H191" i="1"/>
  <c r="I191" i="1" s="1"/>
  <c r="H306" i="1"/>
  <c r="I306" i="1" s="1"/>
  <c r="H366" i="1"/>
  <c r="I366" i="1" s="1"/>
  <c r="H48" i="1"/>
  <c r="I48" i="1" s="1"/>
  <c r="H389" i="1"/>
  <c r="I389" i="1" s="1"/>
  <c r="H263" i="1"/>
  <c r="I263" i="1" s="1"/>
  <c r="H464" i="1"/>
  <c r="I464" i="1" s="1"/>
  <c r="H196" i="1"/>
  <c r="I196" i="1" s="1"/>
  <c r="H194" i="1"/>
  <c r="I194" i="1" s="1"/>
  <c r="H167" i="1"/>
  <c r="I167" i="1" s="1"/>
  <c r="H311" i="1"/>
  <c r="I311" i="1" s="1"/>
  <c r="H460" i="1"/>
  <c r="I460" i="1" s="1"/>
  <c r="H149" i="1"/>
  <c r="I149" i="1" s="1"/>
  <c r="H285" i="1"/>
  <c r="I285" i="1" s="1"/>
  <c r="H400" i="1"/>
  <c r="I400" i="1" s="1"/>
  <c r="H428" i="1"/>
  <c r="I428" i="1" s="1"/>
  <c r="H337" i="1"/>
  <c r="I337" i="1" s="1"/>
  <c r="H52" i="1"/>
  <c r="I52" i="1" s="1"/>
  <c r="H264" i="1"/>
  <c r="I264" i="1" s="1"/>
  <c r="H27" i="1"/>
  <c r="I27" i="1" s="1"/>
  <c r="H257" i="1"/>
  <c r="I257" i="1" s="1"/>
  <c r="H22" i="1"/>
  <c r="I22" i="1" s="1"/>
  <c r="H277" i="1"/>
  <c r="I277" i="1" s="1"/>
  <c r="H118" i="1"/>
  <c r="I118" i="1" s="1"/>
  <c r="H358" i="1"/>
  <c r="I358" i="1" s="1"/>
  <c r="H70" i="1"/>
  <c r="I70" i="1" s="1"/>
  <c r="H69" i="1"/>
  <c r="I69" i="1" s="1"/>
  <c r="H466" i="1"/>
  <c r="I466" i="1" s="1"/>
  <c r="H108" i="1"/>
  <c r="I108" i="1" s="1"/>
  <c r="H387" i="1"/>
  <c r="I387" i="1" s="1"/>
  <c r="H169" i="1"/>
  <c r="I169" i="1" s="1"/>
  <c r="H509" i="1"/>
  <c r="I509" i="1" s="1"/>
  <c r="H374" i="1"/>
  <c r="I374" i="1" s="1"/>
  <c r="H45" i="1"/>
  <c r="I45" i="1" s="1"/>
  <c r="H473" i="1"/>
  <c r="I473" i="1" s="1"/>
  <c r="H128" i="1"/>
  <c r="I128" i="1" s="1"/>
  <c r="H129" i="1"/>
  <c r="I129" i="1" s="1"/>
  <c r="H388" i="1"/>
  <c r="I388" i="1" s="1"/>
  <c r="H150" i="1"/>
  <c r="I150" i="1" s="1"/>
  <c r="H131" i="1"/>
  <c r="I131" i="1" s="1"/>
  <c r="H193" i="1"/>
  <c r="I193" i="1" s="1"/>
  <c r="H110" i="1"/>
  <c r="I110" i="1" s="1"/>
  <c r="H395" i="1"/>
  <c r="I395" i="1" s="1"/>
  <c r="H302" i="1"/>
  <c r="I302" i="1" s="1"/>
  <c r="H510" i="1"/>
  <c r="I510" i="1" s="1"/>
  <c r="H163" i="1"/>
  <c r="I163" i="1" s="1"/>
  <c r="H178" i="1"/>
  <c r="I178" i="1" s="1"/>
  <c r="H287" i="1"/>
  <c r="I287" i="1" s="1"/>
  <c r="H595" i="1"/>
  <c r="I595" i="1" s="1"/>
  <c r="H316" i="1"/>
  <c r="I316" i="1" s="1"/>
  <c r="H102" i="1"/>
  <c r="I102" i="1" s="1"/>
  <c r="H303" i="1"/>
  <c r="I303" i="1" s="1"/>
  <c r="H65" i="1"/>
  <c r="I65" i="1" s="1"/>
  <c r="H421" i="1"/>
  <c r="I421" i="1" s="1"/>
  <c r="H299" i="1"/>
  <c r="I299" i="1" s="1"/>
  <c r="H80" i="1"/>
  <c r="I80" i="1" s="1"/>
  <c r="H288" i="1"/>
  <c r="I288" i="1" s="1"/>
  <c r="H317" i="1"/>
  <c r="I317" i="1" s="1"/>
  <c r="H161" i="1"/>
  <c r="I161" i="1" s="1"/>
  <c r="H182" i="1"/>
  <c r="I182" i="1" s="1"/>
  <c r="H378" i="1"/>
  <c r="I378" i="1" s="1"/>
  <c r="H551" i="1"/>
  <c r="I551" i="1" s="1"/>
  <c r="H101" i="1"/>
  <c r="I101" i="1" s="1"/>
  <c r="H147" i="1"/>
  <c r="I147" i="1" s="1"/>
  <c r="H228" i="1"/>
  <c r="I228" i="1" s="1"/>
  <c r="H447" i="1"/>
  <c r="I447" i="1" s="1"/>
  <c r="H575" i="1"/>
  <c r="I575" i="1" s="1"/>
  <c r="H414" i="1"/>
  <c r="I414" i="1" s="1"/>
  <c r="H77" i="1"/>
  <c r="I77" i="1" s="1"/>
  <c r="H46" i="1"/>
  <c r="I46" i="1" s="1"/>
  <c r="H354" i="1"/>
  <c r="I354" i="1" s="1"/>
  <c r="H390" i="1"/>
  <c r="I390" i="1" s="1"/>
  <c r="H231" i="1"/>
  <c r="I231" i="1" s="1"/>
  <c r="H396" i="1"/>
  <c r="I39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<sst xmlns="http://schemas.openxmlformats.org/spreadsheetml/2006/main" count="4334" uniqueCount="221">
  <si>
    <t>partition_date</t>
  </si>
  <si>
    <t>keywords</t>
  </si>
  <si>
    <t>asin</t>
  </si>
  <si>
    <t>impression_count</t>
  </si>
  <si>
    <t>avg_organic_position</t>
  </si>
  <si>
    <t>total_num_purchases</t>
  </si>
  <si>
    <t>total_num_clicks</t>
  </si>
  <si>
    <t>silver hoop earrings for women</t>
  </si>
  <si>
    <t>B07GBK4GXW</t>
  </si>
  <si>
    <t>sterling silver earrings</t>
  </si>
  <si>
    <t>sterling silver hoop earrings</t>
  </si>
  <si>
    <t>B00HERYZSU</t>
  </si>
  <si>
    <t>hoop earrings</t>
  </si>
  <si>
    <t>B00HERYYHW</t>
  </si>
  <si>
    <t>silver hoops earrings for women</t>
  </si>
  <si>
    <t>B07J9KWKWL</t>
  </si>
  <si>
    <t>silver hoop earrings</t>
  </si>
  <si>
    <t>B07GBK4HJ1</t>
  </si>
  <si>
    <t>B07JVLZBYY</t>
  </si>
  <si>
    <t>925 sterling silver earrings</t>
  </si>
  <si>
    <t>B074PBSDP5</t>
  </si>
  <si>
    <t>B07GBK2F24</t>
  </si>
  <si>
    <t>B07GBJV7SZ</t>
  </si>
  <si>
    <t>silver hoops</t>
  </si>
  <si>
    <t>B07GBHNZ43</t>
  </si>
  <si>
    <t>B07GBK1J43</t>
  </si>
  <si>
    <t>B00HERYZ6C</t>
  </si>
  <si>
    <t>B074PBGDLN</t>
  </si>
  <si>
    <t>B074PC4GGK</t>
  </si>
  <si>
    <t>hoops earrings for women</t>
  </si>
  <si>
    <t>hoops</t>
  </si>
  <si>
    <t>B07JC2X8KT</t>
  </si>
  <si>
    <t>B07GBHNZ44</t>
  </si>
  <si>
    <t>DATE</t>
  </si>
  <si>
    <t>Week</t>
  </si>
  <si>
    <t>Row Labels</t>
  </si>
  <si>
    <t>Grand Total</t>
  </si>
  <si>
    <t>Sum of impression_count</t>
  </si>
  <si>
    <t>Column Labels</t>
  </si>
  <si>
    <t>(All)</t>
  </si>
  <si>
    <t>Sum of total_num_clicks</t>
  </si>
  <si>
    <t>Sum of total_num_purchases</t>
  </si>
  <si>
    <t>Average of avg_organic_position</t>
  </si>
  <si>
    <t>Wgtd_org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</si>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</sst>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theme="1"/>
      <name val="Monaco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18" fillId="0" borderId="0" xfId="0" applyFont="1"/>
    <xf numFmtId="0" fontId="19" fillId="0" borderId="0" xfId="0" applyFont="1"/>
    <xf numFmtId="0" fontId="0" fillId="0" borderId="10" xfId="0" applyBorder="1"/>
    <xf numFmtId="0" fontId="20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[B0DKG6DBDY_ANALYSIS.xlsx]impression!PivotTable31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impression!$B$3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impression!$A$4:$A$29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impression!$B$4:$B$29</c:f>
              <c:numCache>
                <c:formatCode>General</c:formatCode>
                <c:ptCount val="25"/>
                <c:pt idx="0">
                  <c:v>14</c:v>
                </c:pt>
                <c:pt idx="1">
                  <c:v>33</c:v>
                </c:pt>
                <c:pt idx="2">
                  <c:v>24</c:v>
                </c:pt>
                <c:pt idx="3">
                  <c:v>24</c:v>
                </c:pt>
                <c:pt idx="4">
                  <c:v>54</c:v>
                </c:pt>
                <c:pt idx="5">
                  <c:v>43</c:v>
                </c:pt>
                <c:pt idx="6">
                  <c:v>208</c:v>
                </c:pt>
                <c:pt idx="7">
                  <c:v>130</c:v>
                </c:pt>
                <c:pt idx="8">
                  <c:v>43</c:v>
                </c:pt>
                <c:pt idx="9">
                  <c:v>22</c:v>
                </c:pt>
                <c:pt idx="10">
                  <c:v>56</c:v>
                </c:pt>
                <c:pt idx="11">
                  <c:v>29</c:v>
                </c:pt>
                <c:pt idx="12">
                  <c:v>36</c:v>
                </c:pt>
                <c:pt idx="13">
                  <c:v>46</c:v>
                </c:pt>
                <c:pt idx="14">
                  <c:v>47</c:v>
                </c:pt>
                <c:pt idx="15">
                  <c:v>36</c:v>
                </c:pt>
                <c:pt idx="16">
                  <c:v>31</c:v>
                </c:pt>
                <c:pt idx="17">
                  <c:v>49</c:v>
                </c:pt>
                <c:pt idx="18">
                  <c:v>57</c:v>
                </c:pt>
                <c:pt idx="19">
                  <c:v>264</c:v>
                </c:pt>
                <c:pt idx="20">
                  <c:v>545</c:v>
                </c:pt>
                <c:pt idx="21">
                  <c:v>213</c:v>
                </c:pt>
                <c:pt idx="22">
                  <c:v>320</c:v>
                </c:pt>
                <c:pt idx="23">
                  <c:v>282</c:v>
                </c:pt>
                <c:pt idx="24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2-C945-B77F-B8863902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574640"/>
        <c:axId val="1525756608"/>
      </c:lineChart>
      <c:catAx>
        <c:axId val="152657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56608"/>
        <c:crosses val="autoZero"/>
        <c:auto val="1"/>
        <c:lblAlgn val="ctr"/>
        <c:lblOffset val="100"/>
        <c:noMultiLvlLbl val="0"/>
      </c:catAx>
      <c:valAx>
        <c:axId val="152575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57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[B0DKG6DBDY_ANALYSIS.xlsx]clicks!PivotTable32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clicks!$B$3:$B$4</c:f>
              <c:strCache>
                <c:ptCount val="1"/>
                <c:pt idx="0">
                  <c:v>925 sterling silver earrings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clicks!$A$5:$A$30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clicks!$B$5:$B$30</c:f>
              <c:numCache>
                <c:formatCode>General</c:formatCode>
                <c:ptCount val="25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7-804A-A856-28321E00A9E7}"/>
            </c:ext>
          </c:extLst>
        </c:ser>
        <c:ser>
          <c:idx val="1"/>
          <c:order val="1"/>
          <c:tx>
            <c:strRef>
              <c:f>clicks!$C$3:$C$4</c:f>
              <c:strCache>
                <c:ptCount val="1"/>
                <c:pt idx="0">
                  <c:v>hoop earrings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clicks!$A$5:$A$30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clicks!$C$5:$C$30</c:f>
              <c:numCache>
                <c:formatCode>General</c:formatCode>
                <c:ptCount val="25"/>
                <c:pt idx="0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11">
                  <c:v>0</c:v>
                </c:pt>
                <c:pt idx="12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7-804A-A856-28321E00A9E7}"/>
            </c:ext>
          </c:extLst>
        </c:ser>
        <c:ser>
          <c:idx val="2"/>
          <c:order val="2"/>
          <c:tx>
            <c:strRef>
              <c:f>clicks!$D$3:$D$4</c:f>
              <c:strCache>
                <c:ptCount val="1"/>
                <c:pt idx="0">
                  <c:v>hoops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clicks!$A$5:$A$30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clicks!$D$5:$D$30</c:f>
              <c:numCache>
                <c:formatCode>General</c:formatCode>
                <c:ptCount val="25"/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C7-804A-A856-28321E00A9E7}"/>
            </c:ext>
          </c:extLst>
        </c:ser>
        <c:ser>
          <c:idx val="3"/>
          <c:order val="3"/>
          <c:tx>
            <c:strRef>
              <c:f>clicks!$E$3:$E$4</c:f>
              <c:strCache>
                <c:ptCount val="1"/>
                <c:pt idx="0">
                  <c:v>hoops earrings for women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clicks!$A$5:$A$30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clicks!$E$5:$E$30</c:f>
              <c:numCache>
                <c:formatCode>General</c:formatCode>
                <c:ptCount val="25"/>
                <c:pt idx="20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C7-804A-A856-28321E00A9E7}"/>
            </c:ext>
          </c:extLst>
        </c:ser>
        <c:ser>
          <c:idx val="4"/>
          <c:order val="4"/>
          <c:tx>
            <c:strRef>
              <c:f>clicks!$F$3:$F$4</c:f>
              <c:strCache>
                <c:ptCount val="1"/>
                <c:pt idx="0">
                  <c:v>silver hoop earrings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clicks!$A$5:$A$30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clicks!$F$5:$F$30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C7-804A-A856-28321E00A9E7}"/>
            </c:ext>
          </c:extLst>
        </c:ser>
        <c:ser>
          <c:idx val="5"/>
          <c:order val="5"/>
          <c:tx>
            <c:strRef>
              <c:f>clicks!$G$3:$G$4</c:f>
              <c:strCache>
                <c:ptCount val="1"/>
                <c:pt idx="0">
                  <c:v>silver hoop earrings for women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clicks!$A$5:$A$30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clicks!$G$5:$G$30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12</c:v>
                </c:pt>
                <c:pt idx="5">
                  <c:v>4</c:v>
                </c:pt>
                <c:pt idx="6">
                  <c:v>6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7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C7-804A-A856-28321E00A9E7}"/>
            </c:ext>
          </c:extLst>
        </c:ser>
        <c:ser>
          <c:idx val="6"/>
          <c:order val="6"/>
          <c:tx>
            <c:strRef>
              <c:f>clicks!$H$3:$H$4</c:f>
              <c:strCache>
                <c:ptCount val="1"/>
                <c:pt idx="0">
                  <c:v>silver hoops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clicks!$A$5:$A$30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clicks!$H$5:$H$30</c:f>
              <c:numCache>
                <c:formatCode>General</c:formatCode>
                <c:ptCount val="25"/>
                <c:pt idx="2">
                  <c:v>0</c:v>
                </c:pt>
                <c:pt idx="3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C7-804A-A856-28321E00A9E7}"/>
            </c:ext>
          </c:extLst>
        </c:ser>
        <c:ser>
          <c:idx val="7"/>
          <c:order val="7"/>
          <c:tx>
            <c:strRef>
              <c:f>clicks!$I$3:$I$4</c:f>
              <c:strCache>
                <c:ptCount val="1"/>
                <c:pt idx="0">
                  <c:v>silver hoops earrings for women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clicks!$A$5:$A$30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clicks!$I$5:$I$30</c:f>
              <c:numCache>
                <c:formatCode>General</c:formatCode>
                <c:ptCount val="25"/>
                <c:pt idx="1">
                  <c:v>2</c:v>
                </c:pt>
                <c:pt idx="7">
                  <c:v>0</c:v>
                </c:pt>
                <c:pt idx="8">
                  <c:v>2</c:v>
                </c:pt>
                <c:pt idx="10">
                  <c:v>0</c:v>
                </c:pt>
                <c:pt idx="14">
                  <c:v>0</c:v>
                </c:pt>
                <c:pt idx="15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C7-804A-A856-28321E00A9E7}"/>
            </c:ext>
          </c:extLst>
        </c:ser>
        <c:ser>
          <c:idx val="8"/>
          <c:order val="8"/>
          <c:tx>
            <c:strRef>
              <c:f>clicks!$J$3:$J$4</c:f>
              <c:strCache>
                <c:ptCount val="1"/>
                <c:pt idx="0">
                  <c:v>sterling silver earrings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clicks!$A$5:$A$30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clicks!$J$5:$J$30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6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C7-804A-A856-28321E00A9E7}"/>
            </c:ext>
          </c:extLst>
        </c:ser>
        <c:ser>
          <c:idx val="9"/>
          <c:order val="9"/>
          <c:tx>
            <c:strRef>
              <c:f>clicks!$K$3:$K$4</c:f>
              <c:strCache>
                <c:ptCount val="1"/>
                <c:pt idx="0">
                  <c:v>sterling silver hoop earrings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clicks!$A$5:$A$30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clicks!$K$5:$K$30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C7-804A-A856-28321E00A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981520"/>
        <c:axId val="1170983232"/>
      </c:lineChart>
      <c:catAx>
        <c:axId val="117098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83232"/>
        <c:crosses val="autoZero"/>
        <c:auto val="1"/>
        <c:lblAlgn val="ctr"/>
        <c:lblOffset val="100"/>
        <c:noMultiLvlLbl val="0"/>
      </c:catAx>
      <c:valAx>
        <c:axId val="117098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8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[B0DKG6DBDY_ANALYSIS.xlsx]purchase!PivotTable33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purchase!$B$3:$B$4</c:f>
              <c:strCache>
                <c:ptCount val="1"/>
                <c:pt idx="0">
                  <c:v>925 sterling silver earrings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purchase!$A$5:$A$30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purchase!$B$5:$B$30</c:f>
              <c:numCache>
                <c:formatCode>General</c:formatCode>
                <c:ptCount val="25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7-B14A-AB3E-4AD96683D0AA}"/>
            </c:ext>
          </c:extLst>
        </c:ser>
        <c:ser>
          <c:idx val="1"/>
          <c:order val="1"/>
          <c:tx>
            <c:strRef>
              <c:f>purchase!$C$3:$C$4</c:f>
              <c:strCache>
                <c:ptCount val="1"/>
                <c:pt idx="0">
                  <c:v>hoop earrings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purchase!$A$5:$A$30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purchase!$C$5:$C$30</c:f>
              <c:numCache>
                <c:formatCode>General</c:formatCode>
                <c:ptCount val="25"/>
                <c:pt idx="0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11">
                  <c:v>0</c:v>
                </c:pt>
                <c:pt idx="12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E7-B14A-AB3E-4AD96683D0AA}"/>
            </c:ext>
          </c:extLst>
        </c:ser>
        <c:ser>
          <c:idx val="2"/>
          <c:order val="2"/>
          <c:tx>
            <c:strRef>
              <c:f>purchase!$D$3:$D$4</c:f>
              <c:strCache>
                <c:ptCount val="1"/>
                <c:pt idx="0">
                  <c:v>hoops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purchase!$A$5:$A$30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purchase!$D$5:$D$30</c:f>
              <c:numCache>
                <c:formatCode>General</c:formatCode>
                <c:ptCount val="25"/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E7-B14A-AB3E-4AD96683D0AA}"/>
            </c:ext>
          </c:extLst>
        </c:ser>
        <c:ser>
          <c:idx val="3"/>
          <c:order val="3"/>
          <c:tx>
            <c:strRef>
              <c:f>purchase!$E$3:$E$4</c:f>
              <c:strCache>
                <c:ptCount val="1"/>
                <c:pt idx="0">
                  <c:v>hoops earrings for women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purchase!$A$5:$A$30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purchase!$E$5:$E$30</c:f>
              <c:numCache>
                <c:formatCode>General</c:formatCode>
                <c:ptCount val="25"/>
                <c:pt idx="20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E7-B14A-AB3E-4AD96683D0AA}"/>
            </c:ext>
          </c:extLst>
        </c:ser>
        <c:ser>
          <c:idx val="4"/>
          <c:order val="4"/>
          <c:tx>
            <c:strRef>
              <c:f>purchase!$F$3:$F$4</c:f>
              <c:strCache>
                <c:ptCount val="1"/>
                <c:pt idx="0">
                  <c:v>silver hoop earrings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purchase!$A$5:$A$30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purchase!$F$5:$F$30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E7-B14A-AB3E-4AD96683D0AA}"/>
            </c:ext>
          </c:extLst>
        </c:ser>
        <c:ser>
          <c:idx val="5"/>
          <c:order val="5"/>
          <c:tx>
            <c:strRef>
              <c:f>purchase!$G$3:$G$4</c:f>
              <c:strCache>
                <c:ptCount val="1"/>
                <c:pt idx="0">
                  <c:v>silver hoop earrings for women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purchase!$A$5:$A$30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purchase!$G$5:$G$30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E7-B14A-AB3E-4AD96683D0AA}"/>
            </c:ext>
          </c:extLst>
        </c:ser>
        <c:ser>
          <c:idx val="6"/>
          <c:order val="6"/>
          <c:tx>
            <c:strRef>
              <c:f>purchase!$H$3:$H$4</c:f>
              <c:strCache>
                <c:ptCount val="1"/>
                <c:pt idx="0">
                  <c:v>silver hoops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purchase!$A$5:$A$30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purchase!$H$5:$H$30</c:f>
              <c:numCache>
                <c:formatCode>General</c:formatCode>
                <c:ptCount val="25"/>
                <c:pt idx="2">
                  <c:v>0</c:v>
                </c:pt>
                <c:pt idx="3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E7-B14A-AB3E-4AD96683D0AA}"/>
            </c:ext>
          </c:extLst>
        </c:ser>
        <c:ser>
          <c:idx val="7"/>
          <c:order val="7"/>
          <c:tx>
            <c:strRef>
              <c:f>purchase!$I$3:$I$4</c:f>
              <c:strCache>
                <c:ptCount val="1"/>
                <c:pt idx="0">
                  <c:v>silver hoops earrings for women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purchase!$A$5:$A$30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purchase!$I$5:$I$30</c:f>
              <c:numCache>
                <c:formatCode>General</c:formatCode>
                <c:ptCount val="25"/>
                <c:pt idx="1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4">
                  <c:v>0</c:v>
                </c:pt>
                <c:pt idx="15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E7-B14A-AB3E-4AD96683D0AA}"/>
            </c:ext>
          </c:extLst>
        </c:ser>
        <c:ser>
          <c:idx val="8"/>
          <c:order val="8"/>
          <c:tx>
            <c:strRef>
              <c:f>purchase!$J$3:$J$4</c:f>
              <c:strCache>
                <c:ptCount val="1"/>
                <c:pt idx="0">
                  <c:v>sterling silver earrings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purchase!$A$5:$A$30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purchase!$J$5:$J$30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E7-B14A-AB3E-4AD96683D0AA}"/>
            </c:ext>
          </c:extLst>
        </c:ser>
        <c:ser>
          <c:idx val="9"/>
          <c:order val="9"/>
          <c:tx>
            <c:strRef>
              <c:f>purchase!$K$3:$K$4</c:f>
              <c:strCache>
                <c:ptCount val="1"/>
                <c:pt idx="0">
                  <c:v>sterling silver hoop earrings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purchase!$A$5:$A$30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purchase!$K$5:$K$30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E7-B14A-AB3E-4AD96683D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663680"/>
        <c:axId val="846478272"/>
      </c:lineChart>
      <c:catAx>
        <c:axId val="71566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78272"/>
        <c:crosses val="autoZero"/>
        <c:auto val="1"/>
        <c:lblAlgn val="ctr"/>
        <c:lblOffset val="100"/>
        <c:noMultiLvlLbl val="0"/>
      </c:catAx>
      <c:valAx>
        <c:axId val="84647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66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[B0DKG6DBDY_ANALYSIS.xlsx]org-position!PivotTable34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'org-position'!$B$3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'org-position'!$A$4:$A$29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'org-position'!$B$4:$B$29</c:f>
              <c:numCache>
                <c:formatCode>General</c:formatCode>
                <c:ptCount val="25"/>
                <c:pt idx="0">
                  <c:v>27.416666666666664</c:v>
                </c:pt>
                <c:pt idx="1">
                  <c:v>14.888888888888888</c:v>
                </c:pt>
                <c:pt idx="2">
                  <c:v>30.216666666666665</c:v>
                </c:pt>
                <c:pt idx="3">
                  <c:v>18.05263157894737</c:v>
                </c:pt>
                <c:pt idx="4">
                  <c:v>18.136538461538457</c:v>
                </c:pt>
                <c:pt idx="5">
                  <c:v>30.421957671957664</c:v>
                </c:pt>
                <c:pt idx="6">
                  <c:v>35.622341290139239</c:v>
                </c:pt>
                <c:pt idx="7">
                  <c:v>41.730034502058068</c:v>
                </c:pt>
                <c:pt idx="8">
                  <c:v>26.994166666666661</c:v>
                </c:pt>
                <c:pt idx="9">
                  <c:v>25.577777777777776</c:v>
                </c:pt>
                <c:pt idx="10">
                  <c:v>17.370454545454546</c:v>
                </c:pt>
                <c:pt idx="11">
                  <c:v>18.222222222222221</c:v>
                </c:pt>
                <c:pt idx="12">
                  <c:v>25.537500000000001</c:v>
                </c:pt>
                <c:pt idx="13">
                  <c:v>30.343749999999996</c:v>
                </c:pt>
                <c:pt idx="14">
                  <c:v>16.979166666666668</c:v>
                </c:pt>
                <c:pt idx="15">
                  <c:v>19.469444444444445</c:v>
                </c:pt>
                <c:pt idx="16">
                  <c:v>29.867647058823522</c:v>
                </c:pt>
                <c:pt idx="17">
                  <c:v>22.027586206896551</c:v>
                </c:pt>
                <c:pt idx="18">
                  <c:v>23.029545454545449</c:v>
                </c:pt>
                <c:pt idx="19">
                  <c:v>38.785113730011119</c:v>
                </c:pt>
                <c:pt idx="20">
                  <c:v>32.104543230381573</c:v>
                </c:pt>
                <c:pt idx="21">
                  <c:v>18.63691969481442</c:v>
                </c:pt>
                <c:pt idx="22">
                  <c:v>30.507960731462386</c:v>
                </c:pt>
                <c:pt idx="23">
                  <c:v>27.915308984732746</c:v>
                </c:pt>
                <c:pt idx="24">
                  <c:v>33.487210417912166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9-D94B-9B68-BF96F4D00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882576"/>
        <c:axId val="227692656"/>
      </c:lineChart>
      <c:catAx>
        <c:axId val="10048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92656"/>
        <c:crosses val="autoZero"/>
        <c:auto val="1"/>
        <c:lblAlgn val="ctr"/>
        <c:lblOffset val="100"/>
        <c:noMultiLvlLbl val="0"/>
      </c:catAx>
      <c:valAx>
        <c:axId val="2276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[B0DKG6DBDY_ANALYSIS.xlsx]Sheet8!PivotTable44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hoop earrings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strCache>
            </c:strRef>
          </c:cat>
          <c:val>
            <c:numRef>
              <c:f>Sheet8!$B$5:$B$29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10">
                  <c:v>3</c:v>
                </c:pt>
                <c:pt idx="11">
                  <c:v>4</c:v>
                </c:pt>
                <c:pt idx="14">
                  <c:v>1</c:v>
                </c:pt>
                <c:pt idx="16">
                  <c:v>5</c:v>
                </c:pt>
                <c:pt idx="18">
                  <c:v>2</c:v>
                </c:pt>
                <c:pt idx="19">
                  <c:v>3</c:v>
                </c:pt>
                <c:pt idx="20">
                  <c:v>14</c:v>
                </c:pt>
                <c:pt idx="21">
                  <c:v>26</c:v>
                </c:pt>
                <c:pt idx="22">
                  <c:v>26</c:v>
                </c:pt>
                <c:pt idx="2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F-A44F-8740-C770DC3F9610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sterling silver earrings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Sheet8!$A$5:$A$29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strCache>
            </c:strRef>
          </c:cat>
          <c:val>
            <c:numRef>
              <c:f>Sheet8!$C$5:$C$29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12</c:v>
                </c:pt>
                <c:pt idx="10">
                  <c:v>4</c:v>
                </c:pt>
                <c:pt idx="11">
                  <c:v>9</c:v>
                </c:pt>
                <c:pt idx="12">
                  <c:v>9</c:v>
                </c:pt>
                <c:pt idx="13">
                  <c:v>13</c:v>
                </c:pt>
                <c:pt idx="14">
                  <c:v>8</c:v>
                </c:pt>
                <c:pt idx="15">
                  <c:v>1</c:v>
                </c:pt>
                <c:pt idx="16">
                  <c:v>8</c:v>
                </c:pt>
                <c:pt idx="17">
                  <c:v>7</c:v>
                </c:pt>
                <c:pt idx="18">
                  <c:v>22</c:v>
                </c:pt>
                <c:pt idx="19">
                  <c:v>28</c:v>
                </c:pt>
                <c:pt idx="20">
                  <c:v>73</c:v>
                </c:pt>
                <c:pt idx="21">
                  <c:v>131</c:v>
                </c:pt>
                <c:pt idx="22">
                  <c:v>109</c:v>
                </c:pt>
                <c:pt idx="23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1F-A44F-8740-C770DC3F9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412336"/>
        <c:axId val="1549044032"/>
      </c:lineChart>
      <c:catAx>
        <c:axId val="154941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044032"/>
        <c:crosses val="autoZero"/>
        <c:auto val="1"/>
        <c:lblAlgn val="ctr"/>
        <c:lblOffset val="100"/>
        <c:noMultiLvlLbl val="0"/>
      </c:catAx>
      <c:valAx>
        <c:axId val="154904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1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15</xdr:row>
      <xdr:rowOff>6350</xdr:rowOff>
    </xdr:from>
    <xdr:to>
      <xdr:col>9</xdr:col>
      <xdr:colOff>596900</xdr:colOff>
      <xdr:row>41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AB332-693A-BBE0-D8C4-D0023E878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15</xdr:row>
      <xdr:rowOff>88900</xdr:rowOff>
    </xdr:from>
    <xdr:to>
      <xdr:col>9</xdr:col>
      <xdr:colOff>596900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D1F3E-4E40-6E71-331D-F58A44756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482600</xdr:colOff>
      <xdr:row>24</xdr:row>
      <xdr:rowOff>171450</xdr:rowOff>
    </xdr:from>
    <xdr:to>
      <xdr:col>8</xdr:col>
      <xdr:colOff>850900</xdr:colOff>
      <xdr:row>42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A16EEE-EFD2-95C5-DE1C-9E531FCCE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15</xdr:row>
      <xdr:rowOff>6350</xdr:rowOff>
    </xdr:from>
    <xdr:to>
      <xdr:col>9</xdr:col>
      <xdr:colOff>889000</xdr:colOff>
      <xdr:row>47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50E80-7508-A790-2D24-3C61FB655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15</xdr:row>
      <xdr:rowOff>6350</xdr:rowOff>
    </xdr:from>
    <xdr:to>
      <xdr:col>14</xdr:col>
      <xdr:colOff>12700</xdr:colOff>
      <xdr:row>33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15C6D-5FAA-C906-FF0D-24B03B4D9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, RAHUL" refreshedDate="45835.624889236111" createdVersion="8" refreshedVersion="8" minRefreshableVersion="3" recordCount="598" xr:uid="{B4809B77-9E6D-7F44-9C3C-226225896DA2}">
  <cacheSource type="worksheet">
    <worksheetSource ref="A1:I599" sheet="B0DKG6DBDY"/>
  </cacheSource>
  <cacheFields count="9">
    <cacheField name="partition_date" numFmtId="0">
      <sharedItems containsSemiMixedTypes="0" containsString="0" containsNumber="1" containsInteger="1" minValue="20250101" maxValue="20250621"/>
    </cacheField>
    <cacheField name="keywords" numFmtId="0">
      <sharedItems count="10">
        <s v="sterling silver hoop earrings"/>
        <s v="silver hoop earrings"/>
        <s v="silver hoop earrings for women"/>
        <s v="sterling silver earrings"/>
        <s v="hoop earrings"/>
        <s v="925 sterling silver earrings"/>
        <s v="silver hoops earrings for women"/>
        <s v="silver hoops"/>
        <s v="hoops"/>
        <s v="hoops earrings for women"/>
      </sharedItems>
    </cacheField>
    <cacheField name="asin" numFmtId="0">
      <sharedItems count="16">
        <s v="B07GBK1J43"/>
        <s v="B074PC4GGK"/>
        <s v="B07GBK4HJ1"/>
        <s v="B07GBK4GXW"/>
        <s v="B07J9KWKWL"/>
        <s v="B00HERYYHW"/>
        <s v="B07JVLZBYY"/>
        <s v="B07GBJV7SZ"/>
        <s v="B07GBHNZ43"/>
        <s v="B07GBHNZ44"/>
        <s v="B00HERYZ6C"/>
        <s v="B074PBGDLN"/>
        <s v="B074PBSDP5"/>
        <s v="B00HERYZSU"/>
        <s v="B07JC2X8KT"/>
        <s v="B07GBK2F24"/>
      </sharedItems>
    </cacheField>
    <cacheField name="impression_count" numFmtId="0">
      <sharedItems containsSemiMixedTypes="0" containsString="0" containsNumber="1" containsInteger="1" minValue="1" maxValue="162"/>
    </cacheField>
    <cacheField name="avg_organic_position" numFmtId="0">
      <sharedItems containsSemiMixedTypes="0" containsString="0" containsNumber="1" minValue="1" maxValue="96"/>
    </cacheField>
    <cacheField name="total_num_purchases" numFmtId="0">
      <sharedItems containsSemiMixedTypes="0" containsString="0" containsNumber="1" containsInteger="1" minValue="0" maxValue="1"/>
    </cacheField>
    <cacheField name="total_num_clicks" numFmtId="0">
      <sharedItems containsSemiMixedTypes="0" containsString="0" containsNumber="1" containsInteger="1" minValue="0" maxValue="10"/>
    </cacheField>
    <cacheField name="DATE" numFmtId="14">
      <sharedItems containsSemiMixedTypes="0" containsNonDate="0" containsDate="1" containsString="0" minDate="2025-01-01T00:00:00" maxDate="2025-06-22T00:00:00"/>
    </cacheField>
    <cacheField name="Week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, RAHUL" refreshedDate="45835.625768402781" createdVersion="8" refreshedVersion="8" minRefreshableVersion="3" recordCount="147" xr:uid="{7BC049B9-B625-0542-B08C-3E1544AF93FE}">
  <cacheSource type="worksheet">
    <worksheetSource ref="A1:I148" sheet="Sheet7"/>
  </cacheSource>
  <cacheFields count="9">
    <cacheField name="partition_date" numFmtId="0">
      <sharedItems containsSemiMixedTypes="0" containsString="0" containsNumber="1" containsInteger="1" minValue="20250102" maxValue="20250621"/>
    </cacheField>
    <cacheField name="keywords" numFmtId="0">
      <sharedItems count="2">
        <s v="sterling silver earrings"/>
        <s v="hoop earrings"/>
      </sharedItems>
    </cacheField>
    <cacheField name="asin" numFmtId="0">
      <sharedItems/>
    </cacheField>
    <cacheField name="impression_count" numFmtId="0">
      <sharedItems containsSemiMixedTypes="0" containsString="0" containsNumber="1" containsInteger="1" minValue="1" maxValue="32"/>
    </cacheField>
    <cacheField name="avg_organic_position" numFmtId="0">
      <sharedItems containsSemiMixedTypes="0" containsString="0" containsNumber="1" minValue="1" maxValue="84"/>
    </cacheField>
    <cacheField name="total_num_purchases" numFmtId="0">
      <sharedItems containsSemiMixedTypes="0" containsString="0" containsNumber="1" containsInteger="1" minValue="0" maxValue="1"/>
    </cacheField>
    <cacheField name="total_num_clicks" numFmtId="0">
      <sharedItems containsSemiMixedTypes="0" containsString="0" containsNumber="1" containsInteger="1" minValue="0" maxValue="4"/>
    </cacheField>
    <cacheField name="DATE" numFmtId="14">
      <sharedItems containsSemiMixedTypes="0" containsNonDate="0" containsDate="1" containsString="0" minDate="2025-01-02T00:00:00" maxDate="2025-06-22T00:00:00"/>
    </cacheField>
    <cacheField name="Week" numFmtId="0">
      <sharedItems containsSemiMixedTypes="0" containsString="0" containsNumber="1" containsInteger="1" minValue="1" maxValue="25" count="24">
        <n v="1"/>
        <n v="2"/>
        <n v="3"/>
        <n v="4"/>
        <n v="5"/>
        <n v="6"/>
        <n v="7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8">
  <r>
    <n v="20250101"/>
    <x v="0"/>
    <x v="0"/>
    <n v="3"/>
    <n v="34.6666666666666"/>
    <n v="0"/>
    <n v="0"/>
    <d v="2025-01-01T00:00:00"/>
    <x v="0"/>
  </r>
  <r>
    <n v="20250101"/>
    <x v="1"/>
    <x v="0"/>
    <n v="2"/>
    <n v="37.5"/>
    <n v="0"/>
    <n v="0"/>
    <d v="2025-01-01T00:00:00"/>
    <x v="0"/>
  </r>
  <r>
    <n v="20250101"/>
    <x v="0"/>
    <x v="1"/>
    <n v="1"/>
    <n v="37"/>
    <n v="0"/>
    <n v="0"/>
    <d v="2025-01-01T00:00:00"/>
    <x v="0"/>
  </r>
  <r>
    <n v="20250101"/>
    <x v="2"/>
    <x v="2"/>
    <n v="1"/>
    <n v="20"/>
    <n v="0"/>
    <n v="0"/>
    <d v="2025-01-01T00:00:00"/>
    <x v="0"/>
  </r>
  <r>
    <n v="20250101"/>
    <x v="2"/>
    <x v="3"/>
    <n v="1"/>
    <n v="90"/>
    <n v="0"/>
    <n v="0"/>
    <d v="2025-01-01T00:00:00"/>
    <x v="0"/>
  </r>
  <r>
    <n v="20250101"/>
    <x v="0"/>
    <x v="3"/>
    <n v="1"/>
    <n v="9"/>
    <n v="0"/>
    <n v="0"/>
    <d v="2025-01-01T00:00:00"/>
    <x v="0"/>
  </r>
  <r>
    <n v="20250102"/>
    <x v="2"/>
    <x v="1"/>
    <n v="2"/>
    <n v="13"/>
    <n v="0"/>
    <n v="0"/>
    <d v="2025-01-02T00:00:00"/>
    <x v="0"/>
  </r>
  <r>
    <n v="20250102"/>
    <x v="3"/>
    <x v="4"/>
    <n v="1"/>
    <n v="1"/>
    <n v="0"/>
    <n v="0"/>
    <d v="2025-01-02T00:00:00"/>
    <x v="0"/>
  </r>
  <r>
    <n v="20250104"/>
    <x v="1"/>
    <x v="2"/>
    <n v="1"/>
    <n v="31"/>
    <n v="0"/>
    <n v="0"/>
    <d v="2025-01-04T00:00:00"/>
    <x v="0"/>
  </r>
  <r>
    <n v="20250104"/>
    <x v="4"/>
    <x v="3"/>
    <n v="1"/>
    <n v="1"/>
    <n v="0"/>
    <n v="0"/>
    <d v="2025-01-04T00:00:00"/>
    <x v="0"/>
  </r>
  <r>
    <n v="20250105"/>
    <x v="3"/>
    <x v="4"/>
    <n v="2"/>
    <n v="1"/>
    <n v="0"/>
    <n v="0"/>
    <d v="2025-01-05T00:00:00"/>
    <x v="1"/>
  </r>
  <r>
    <n v="20250106"/>
    <x v="5"/>
    <x v="4"/>
    <n v="4"/>
    <n v="2"/>
    <n v="0"/>
    <n v="0"/>
    <d v="2025-01-06T00:00:00"/>
    <x v="1"/>
  </r>
  <r>
    <n v="20250106"/>
    <x v="2"/>
    <x v="3"/>
    <n v="4"/>
    <n v="1"/>
    <n v="0"/>
    <n v="0"/>
    <d v="2025-01-06T00:00:00"/>
    <x v="1"/>
  </r>
  <r>
    <n v="20250106"/>
    <x v="6"/>
    <x v="4"/>
    <n v="3"/>
    <n v="45"/>
    <n v="0"/>
    <n v="2"/>
    <d v="2025-01-06T00:00:00"/>
    <x v="1"/>
  </r>
  <r>
    <n v="20250106"/>
    <x v="1"/>
    <x v="5"/>
    <n v="2"/>
    <n v="1"/>
    <n v="0"/>
    <n v="0"/>
    <d v="2025-01-06T00:00:00"/>
    <x v="1"/>
  </r>
  <r>
    <n v="20250106"/>
    <x v="1"/>
    <x v="3"/>
    <n v="1"/>
    <n v="38"/>
    <n v="0"/>
    <n v="0"/>
    <d v="2025-01-06T00:00:00"/>
    <x v="1"/>
  </r>
  <r>
    <n v="20250107"/>
    <x v="2"/>
    <x v="3"/>
    <n v="3"/>
    <n v="1.3333333333333299"/>
    <n v="0"/>
    <n v="0"/>
    <d v="2025-01-07T00:00:00"/>
    <x v="1"/>
  </r>
  <r>
    <n v="20250107"/>
    <x v="3"/>
    <x v="6"/>
    <n v="1"/>
    <n v="2"/>
    <n v="0"/>
    <n v="0"/>
    <d v="2025-01-07T00:00:00"/>
    <x v="1"/>
  </r>
  <r>
    <n v="20250107"/>
    <x v="0"/>
    <x v="7"/>
    <n v="1"/>
    <n v="37"/>
    <n v="0"/>
    <n v="0"/>
    <d v="2025-01-07T00:00:00"/>
    <x v="1"/>
  </r>
  <r>
    <n v="20250108"/>
    <x v="1"/>
    <x v="3"/>
    <n v="2"/>
    <n v="1"/>
    <n v="0"/>
    <n v="0"/>
    <d v="2025-01-08T00:00:00"/>
    <x v="1"/>
  </r>
  <r>
    <n v="20250108"/>
    <x v="0"/>
    <x v="3"/>
    <n v="1"/>
    <n v="9"/>
    <n v="0"/>
    <n v="0"/>
    <d v="2025-01-08T00:00:00"/>
    <x v="1"/>
  </r>
  <r>
    <n v="20250109"/>
    <x v="0"/>
    <x v="3"/>
    <n v="5"/>
    <n v="35"/>
    <n v="0"/>
    <n v="0"/>
    <d v="2025-01-09T00:00:00"/>
    <x v="1"/>
  </r>
  <r>
    <n v="20250109"/>
    <x v="6"/>
    <x v="5"/>
    <n v="1"/>
    <n v="12"/>
    <n v="0"/>
    <n v="0"/>
    <d v="2025-01-09T00:00:00"/>
    <x v="1"/>
  </r>
  <r>
    <n v="20250110"/>
    <x v="2"/>
    <x v="3"/>
    <n v="2"/>
    <n v="2"/>
    <n v="0"/>
    <n v="0"/>
    <d v="2025-01-10T00:00:00"/>
    <x v="1"/>
  </r>
  <r>
    <n v="20250111"/>
    <x v="2"/>
    <x v="3"/>
    <n v="1"/>
    <n v="36"/>
    <n v="0"/>
    <n v="0"/>
    <d v="2025-01-11T00:00:00"/>
    <x v="1"/>
  </r>
  <r>
    <n v="20250112"/>
    <x v="2"/>
    <x v="3"/>
    <n v="1"/>
    <n v="24"/>
    <n v="0"/>
    <n v="0"/>
    <d v="2025-01-12T00:00:00"/>
    <x v="2"/>
  </r>
  <r>
    <n v="20250113"/>
    <x v="3"/>
    <x v="3"/>
    <n v="4"/>
    <n v="17.25"/>
    <n v="0"/>
    <n v="0"/>
    <d v="2025-01-13T00:00:00"/>
    <x v="2"/>
  </r>
  <r>
    <n v="20250113"/>
    <x v="2"/>
    <x v="5"/>
    <n v="2"/>
    <n v="1"/>
    <n v="0"/>
    <n v="0"/>
    <d v="2025-01-13T00:00:00"/>
    <x v="2"/>
  </r>
  <r>
    <n v="20250114"/>
    <x v="7"/>
    <x v="5"/>
    <n v="4"/>
    <n v="1"/>
    <n v="0"/>
    <n v="0"/>
    <d v="2025-01-14T00:00:00"/>
    <x v="2"/>
  </r>
  <r>
    <n v="20250114"/>
    <x v="0"/>
    <x v="3"/>
    <n v="2"/>
    <n v="20"/>
    <n v="0"/>
    <n v="0"/>
    <d v="2025-01-14T00:00:00"/>
    <x v="2"/>
  </r>
  <r>
    <n v="20250114"/>
    <x v="2"/>
    <x v="4"/>
    <n v="1"/>
    <n v="1"/>
    <n v="0"/>
    <n v="0"/>
    <d v="2025-01-14T00:00:00"/>
    <x v="2"/>
  </r>
  <r>
    <n v="20250114"/>
    <x v="1"/>
    <x v="7"/>
    <n v="1"/>
    <n v="72"/>
    <n v="0"/>
    <n v="0"/>
    <d v="2025-01-14T00:00:00"/>
    <x v="2"/>
  </r>
  <r>
    <n v="20250117"/>
    <x v="7"/>
    <x v="3"/>
    <n v="1"/>
    <n v="18"/>
    <n v="0"/>
    <n v="0"/>
    <d v="2025-01-17T00:00:00"/>
    <x v="2"/>
  </r>
  <r>
    <n v="20250117"/>
    <x v="0"/>
    <x v="3"/>
    <n v="1"/>
    <n v="47"/>
    <n v="0"/>
    <n v="0"/>
    <d v="2025-01-17T00:00:00"/>
    <x v="2"/>
  </r>
  <r>
    <n v="20250118"/>
    <x v="0"/>
    <x v="0"/>
    <n v="2"/>
    <n v="47"/>
    <n v="0"/>
    <n v="0"/>
    <d v="2025-01-18T00:00:00"/>
    <x v="2"/>
  </r>
  <r>
    <n v="20250118"/>
    <x v="5"/>
    <x v="5"/>
    <n v="1"/>
    <n v="85"/>
    <n v="0"/>
    <n v="0"/>
    <d v="2025-01-18T00:00:00"/>
    <x v="2"/>
  </r>
  <r>
    <n v="20250118"/>
    <x v="3"/>
    <x v="7"/>
    <n v="1"/>
    <n v="80"/>
    <n v="0"/>
    <n v="0"/>
    <d v="2025-01-18T00:00:00"/>
    <x v="2"/>
  </r>
  <r>
    <n v="20250118"/>
    <x v="3"/>
    <x v="8"/>
    <n v="1"/>
    <n v="27"/>
    <n v="0"/>
    <n v="0"/>
    <d v="2025-01-18T00:00:00"/>
    <x v="2"/>
  </r>
  <r>
    <n v="20250118"/>
    <x v="0"/>
    <x v="3"/>
    <n v="1"/>
    <n v="11"/>
    <n v="0"/>
    <n v="0"/>
    <d v="2025-01-18T00:00:00"/>
    <x v="2"/>
  </r>
  <r>
    <n v="20250118"/>
    <x v="0"/>
    <x v="6"/>
    <n v="1"/>
    <n v="2"/>
    <n v="0"/>
    <n v="0"/>
    <d v="2025-01-18T00:00:00"/>
    <x v="2"/>
  </r>
  <r>
    <n v="20250119"/>
    <x v="0"/>
    <x v="3"/>
    <n v="2"/>
    <n v="11.5"/>
    <n v="0"/>
    <n v="0"/>
    <d v="2025-01-19T00:00:00"/>
    <x v="3"/>
  </r>
  <r>
    <n v="20250119"/>
    <x v="1"/>
    <x v="3"/>
    <n v="1"/>
    <n v="1"/>
    <n v="0"/>
    <n v="0"/>
    <d v="2025-01-19T00:00:00"/>
    <x v="3"/>
  </r>
  <r>
    <n v="20250119"/>
    <x v="4"/>
    <x v="3"/>
    <n v="1"/>
    <n v="26"/>
    <n v="0"/>
    <n v="0"/>
    <d v="2025-01-19T00:00:00"/>
    <x v="3"/>
  </r>
  <r>
    <n v="20250119"/>
    <x v="0"/>
    <x v="2"/>
    <n v="1"/>
    <n v="35"/>
    <n v="0"/>
    <n v="0"/>
    <d v="2025-01-19T00:00:00"/>
    <x v="3"/>
  </r>
  <r>
    <n v="20250119"/>
    <x v="0"/>
    <x v="9"/>
    <n v="1"/>
    <n v="13"/>
    <n v="0"/>
    <n v="0"/>
    <d v="2025-01-19T00:00:00"/>
    <x v="3"/>
  </r>
  <r>
    <n v="20250120"/>
    <x v="2"/>
    <x v="3"/>
    <n v="2"/>
    <n v="1.5"/>
    <n v="0"/>
    <n v="0"/>
    <d v="2025-01-20T00:00:00"/>
    <x v="3"/>
  </r>
  <r>
    <n v="20250120"/>
    <x v="1"/>
    <x v="3"/>
    <n v="1"/>
    <n v="16"/>
    <n v="0"/>
    <n v="0"/>
    <d v="2025-01-20T00:00:00"/>
    <x v="3"/>
  </r>
  <r>
    <n v="20250120"/>
    <x v="7"/>
    <x v="3"/>
    <n v="1"/>
    <n v="12"/>
    <n v="0"/>
    <n v="0"/>
    <d v="2025-01-20T00:00:00"/>
    <x v="3"/>
  </r>
  <r>
    <n v="20250120"/>
    <x v="3"/>
    <x v="5"/>
    <n v="1"/>
    <n v="1"/>
    <n v="0"/>
    <n v="0"/>
    <d v="2025-01-20T00:00:00"/>
    <x v="3"/>
  </r>
  <r>
    <n v="20250120"/>
    <x v="1"/>
    <x v="5"/>
    <n v="1"/>
    <n v="1"/>
    <n v="0"/>
    <n v="0"/>
    <d v="2025-01-20T00:00:00"/>
    <x v="3"/>
  </r>
  <r>
    <n v="20250120"/>
    <x v="0"/>
    <x v="5"/>
    <n v="1"/>
    <n v="1"/>
    <n v="0"/>
    <n v="5"/>
    <d v="2025-01-20T00:00:00"/>
    <x v="3"/>
  </r>
  <r>
    <n v="20250121"/>
    <x v="0"/>
    <x v="3"/>
    <n v="1"/>
    <n v="15"/>
    <n v="0"/>
    <n v="0"/>
    <d v="2025-01-21T00:00:00"/>
    <x v="3"/>
  </r>
  <r>
    <n v="20250121"/>
    <x v="1"/>
    <x v="3"/>
    <n v="1"/>
    <n v="24"/>
    <n v="0"/>
    <n v="0"/>
    <d v="2025-01-21T00:00:00"/>
    <x v="3"/>
  </r>
  <r>
    <n v="20250122"/>
    <x v="2"/>
    <x v="3"/>
    <n v="1"/>
    <n v="71"/>
    <n v="0"/>
    <n v="1"/>
    <d v="2025-01-22T00:00:00"/>
    <x v="3"/>
  </r>
  <r>
    <n v="20250122"/>
    <x v="1"/>
    <x v="5"/>
    <n v="1"/>
    <n v="37"/>
    <n v="0"/>
    <n v="0"/>
    <d v="2025-01-22T00:00:00"/>
    <x v="3"/>
  </r>
  <r>
    <n v="20250123"/>
    <x v="2"/>
    <x v="2"/>
    <n v="3"/>
    <n v="1"/>
    <n v="0"/>
    <n v="0"/>
    <d v="2025-01-23T00:00:00"/>
    <x v="3"/>
  </r>
  <r>
    <n v="20250123"/>
    <x v="3"/>
    <x v="4"/>
    <n v="2"/>
    <n v="1"/>
    <n v="0"/>
    <n v="0"/>
    <d v="2025-01-23T00:00:00"/>
    <x v="3"/>
  </r>
  <r>
    <n v="20250124"/>
    <x v="8"/>
    <x v="1"/>
    <n v="1"/>
    <n v="43"/>
    <n v="0"/>
    <n v="0"/>
    <d v="2025-01-24T00:00:00"/>
    <x v="3"/>
  </r>
  <r>
    <n v="20250125"/>
    <x v="0"/>
    <x v="3"/>
    <n v="1"/>
    <n v="32"/>
    <n v="0"/>
    <n v="0"/>
    <d v="2025-01-25T00:00:00"/>
    <x v="3"/>
  </r>
  <r>
    <n v="20250126"/>
    <x v="2"/>
    <x v="5"/>
    <n v="8"/>
    <n v="1"/>
    <n v="0"/>
    <n v="3"/>
    <d v="2025-01-26T00:00:00"/>
    <x v="4"/>
  </r>
  <r>
    <n v="20250126"/>
    <x v="2"/>
    <x v="3"/>
    <n v="2"/>
    <n v="16.5"/>
    <n v="0"/>
    <n v="0"/>
    <d v="2025-01-26T00:00:00"/>
    <x v="4"/>
  </r>
  <r>
    <n v="20250126"/>
    <x v="3"/>
    <x v="3"/>
    <n v="2"/>
    <n v="1"/>
    <n v="0"/>
    <n v="0"/>
    <d v="2025-01-26T00:00:00"/>
    <x v="4"/>
  </r>
  <r>
    <n v="20250126"/>
    <x v="0"/>
    <x v="7"/>
    <n v="1"/>
    <n v="14"/>
    <n v="0"/>
    <n v="0"/>
    <d v="2025-01-26T00:00:00"/>
    <x v="4"/>
  </r>
  <r>
    <n v="20250126"/>
    <x v="0"/>
    <x v="3"/>
    <n v="1"/>
    <n v="32"/>
    <n v="0"/>
    <n v="0"/>
    <d v="2025-01-26T00:00:00"/>
    <x v="4"/>
  </r>
  <r>
    <n v="20250127"/>
    <x v="1"/>
    <x v="2"/>
    <n v="5"/>
    <n v="36"/>
    <n v="0"/>
    <n v="0"/>
    <d v="2025-01-27T00:00:00"/>
    <x v="4"/>
  </r>
  <r>
    <n v="20250127"/>
    <x v="3"/>
    <x v="3"/>
    <n v="2"/>
    <n v="1"/>
    <n v="0"/>
    <n v="0"/>
    <d v="2025-01-27T00:00:00"/>
    <x v="4"/>
  </r>
  <r>
    <n v="20250129"/>
    <x v="2"/>
    <x v="3"/>
    <n v="2"/>
    <n v="1"/>
    <n v="0"/>
    <n v="1"/>
    <d v="2025-01-29T00:00:00"/>
    <x v="4"/>
  </r>
  <r>
    <n v="20250129"/>
    <x v="0"/>
    <x v="3"/>
    <n v="1"/>
    <n v="15"/>
    <n v="0"/>
    <n v="0"/>
    <d v="2025-01-29T00:00:00"/>
    <x v="4"/>
  </r>
  <r>
    <n v="20250130"/>
    <x v="1"/>
    <x v="5"/>
    <n v="2"/>
    <n v="1"/>
    <n v="0"/>
    <n v="0"/>
    <d v="2025-01-30T00:00:00"/>
    <x v="4"/>
  </r>
  <r>
    <n v="20250130"/>
    <x v="2"/>
    <x v="3"/>
    <n v="1"/>
    <n v="1"/>
    <n v="1"/>
    <n v="1"/>
    <d v="2025-01-30T00:00:00"/>
    <x v="4"/>
  </r>
  <r>
    <n v="20250130"/>
    <x v="5"/>
    <x v="3"/>
    <n v="1"/>
    <n v="15"/>
    <n v="0"/>
    <n v="0"/>
    <d v="2025-01-30T00:00:00"/>
    <x v="4"/>
  </r>
  <r>
    <n v="20250131"/>
    <x v="2"/>
    <x v="2"/>
    <n v="5"/>
    <n v="1"/>
    <n v="0"/>
    <n v="7"/>
    <d v="2025-01-31T00:00:00"/>
    <x v="4"/>
  </r>
  <r>
    <n v="20250131"/>
    <x v="2"/>
    <x v="3"/>
    <n v="3"/>
    <n v="92"/>
    <n v="0"/>
    <n v="0"/>
    <d v="2025-01-31T00:00:00"/>
    <x v="4"/>
  </r>
  <r>
    <n v="20250131"/>
    <x v="4"/>
    <x v="7"/>
    <n v="1"/>
    <n v="8"/>
    <n v="0"/>
    <n v="0"/>
    <d v="2025-01-31T00:00:00"/>
    <x v="4"/>
  </r>
  <r>
    <n v="20250131"/>
    <x v="0"/>
    <x v="3"/>
    <n v="1"/>
    <n v="40"/>
    <n v="0"/>
    <n v="0"/>
    <d v="2025-01-31T00:00:00"/>
    <x v="4"/>
  </r>
  <r>
    <n v="20250201"/>
    <x v="2"/>
    <x v="3"/>
    <n v="13"/>
    <n v="45.230769230769198"/>
    <n v="0"/>
    <n v="0"/>
    <d v="2025-02-01T00:00:00"/>
    <x v="4"/>
  </r>
  <r>
    <n v="20250201"/>
    <x v="0"/>
    <x v="3"/>
    <n v="1"/>
    <n v="2"/>
    <n v="0"/>
    <n v="0"/>
    <d v="2025-02-01T00:00:00"/>
    <x v="4"/>
  </r>
  <r>
    <n v="20250201"/>
    <x v="0"/>
    <x v="8"/>
    <n v="1"/>
    <n v="25"/>
    <n v="0"/>
    <n v="0"/>
    <d v="2025-02-01T00:00:00"/>
    <x v="4"/>
  </r>
  <r>
    <n v="20250201"/>
    <x v="5"/>
    <x v="3"/>
    <n v="1"/>
    <n v="15"/>
    <n v="0"/>
    <n v="0"/>
    <d v="2025-02-01T00:00:00"/>
    <x v="4"/>
  </r>
  <r>
    <n v="20250202"/>
    <x v="2"/>
    <x v="3"/>
    <n v="2"/>
    <n v="23.5"/>
    <n v="0"/>
    <n v="0"/>
    <d v="2025-02-02T00:00:00"/>
    <x v="5"/>
  </r>
  <r>
    <n v="20250202"/>
    <x v="1"/>
    <x v="4"/>
    <n v="1"/>
    <n v="2"/>
    <n v="0"/>
    <n v="0"/>
    <d v="2025-02-02T00:00:00"/>
    <x v="5"/>
  </r>
  <r>
    <n v="20250202"/>
    <x v="1"/>
    <x v="3"/>
    <n v="1"/>
    <n v="32"/>
    <n v="0"/>
    <n v="0"/>
    <d v="2025-02-02T00:00:00"/>
    <x v="5"/>
  </r>
  <r>
    <n v="20250203"/>
    <x v="2"/>
    <x v="3"/>
    <n v="3"/>
    <n v="17"/>
    <n v="0"/>
    <n v="0"/>
    <d v="2025-02-03T00:00:00"/>
    <x v="5"/>
  </r>
  <r>
    <n v="20250203"/>
    <x v="4"/>
    <x v="3"/>
    <n v="1"/>
    <n v="1"/>
    <n v="0"/>
    <n v="0"/>
    <d v="2025-02-03T00:00:00"/>
    <x v="5"/>
  </r>
  <r>
    <n v="20250204"/>
    <x v="2"/>
    <x v="3"/>
    <n v="7"/>
    <n v="81.428571428571402"/>
    <n v="0"/>
    <n v="0"/>
    <d v="2025-02-04T00:00:00"/>
    <x v="5"/>
  </r>
  <r>
    <n v="20250204"/>
    <x v="3"/>
    <x v="3"/>
    <n v="3"/>
    <n v="64.6666666666666"/>
    <n v="0"/>
    <n v="0"/>
    <d v="2025-02-04T00:00:00"/>
    <x v="5"/>
  </r>
  <r>
    <n v="20250204"/>
    <x v="5"/>
    <x v="3"/>
    <n v="1"/>
    <n v="21"/>
    <n v="0"/>
    <n v="0"/>
    <d v="2025-02-04T00:00:00"/>
    <x v="5"/>
  </r>
  <r>
    <n v="20250205"/>
    <x v="2"/>
    <x v="3"/>
    <n v="3"/>
    <n v="58"/>
    <n v="0"/>
    <n v="0"/>
    <d v="2025-02-05T00:00:00"/>
    <x v="5"/>
  </r>
  <r>
    <n v="20250205"/>
    <x v="2"/>
    <x v="1"/>
    <n v="2"/>
    <n v="1"/>
    <n v="0"/>
    <n v="3"/>
    <d v="2025-02-05T00:00:00"/>
    <x v="5"/>
  </r>
  <r>
    <n v="20250205"/>
    <x v="3"/>
    <x v="8"/>
    <n v="1"/>
    <n v="28"/>
    <n v="0"/>
    <n v="0"/>
    <d v="2025-02-05T00:00:00"/>
    <x v="5"/>
  </r>
  <r>
    <n v="20250206"/>
    <x v="3"/>
    <x v="5"/>
    <n v="2"/>
    <n v="1"/>
    <n v="0"/>
    <n v="0"/>
    <d v="2025-02-06T00:00:00"/>
    <x v="5"/>
  </r>
  <r>
    <n v="20250206"/>
    <x v="2"/>
    <x v="3"/>
    <n v="2"/>
    <n v="14.5"/>
    <n v="0"/>
    <n v="0"/>
    <d v="2025-02-06T00:00:00"/>
    <x v="5"/>
  </r>
  <r>
    <n v="20250206"/>
    <x v="0"/>
    <x v="3"/>
    <n v="1"/>
    <n v="15"/>
    <n v="0"/>
    <n v="0"/>
    <d v="2025-02-06T00:00:00"/>
    <x v="5"/>
  </r>
  <r>
    <n v="20250206"/>
    <x v="2"/>
    <x v="7"/>
    <n v="1"/>
    <n v="48"/>
    <n v="0"/>
    <n v="0"/>
    <d v="2025-02-06T00:00:00"/>
    <x v="5"/>
  </r>
  <r>
    <n v="20250207"/>
    <x v="2"/>
    <x v="3"/>
    <n v="2"/>
    <n v="20.5"/>
    <n v="0"/>
    <n v="0"/>
    <d v="2025-02-07T00:00:00"/>
    <x v="5"/>
  </r>
  <r>
    <n v="20250208"/>
    <x v="2"/>
    <x v="3"/>
    <n v="9"/>
    <n v="74"/>
    <n v="0"/>
    <n v="1"/>
    <d v="2025-02-08T00:00:00"/>
    <x v="5"/>
  </r>
  <r>
    <n v="20250208"/>
    <x v="2"/>
    <x v="2"/>
    <n v="1"/>
    <n v="45"/>
    <n v="0"/>
    <n v="0"/>
    <d v="2025-02-08T00:00:00"/>
    <x v="5"/>
  </r>
  <r>
    <n v="20250209"/>
    <x v="2"/>
    <x v="3"/>
    <n v="20"/>
    <n v="60.5"/>
    <n v="0"/>
    <n v="0"/>
    <d v="2025-02-09T00:00:00"/>
    <x v="6"/>
  </r>
  <r>
    <n v="20250210"/>
    <x v="2"/>
    <x v="3"/>
    <n v="34"/>
    <n v="73.588235294117595"/>
    <n v="0"/>
    <n v="3"/>
    <d v="2025-02-10T00:00:00"/>
    <x v="6"/>
  </r>
  <r>
    <n v="20250210"/>
    <x v="0"/>
    <x v="3"/>
    <n v="1"/>
    <n v="10"/>
    <n v="0"/>
    <n v="0"/>
    <d v="2025-02-10T00:00:00"/>
    <x v="6"/>
  </r>
  <r>
    <n v="20250210"/>
    <x v="3"/>
    <x v="3"/>
    <n v="1"/>
    <n v="40"/>
    <n v="0"/>
    <n v="0"/>
    <d v="2025-02-10T00:00:00"/>
    <x v="6"/>
  </r>
  <r>
    <n v="20250211"/>
    <x v="2"/>
    <x v="3"/>
    <n v="40"/>
    <n v="56.7"/>
    <n v="0"/>
    <n v="0"/>
    <d v="2025-02-11T00:00:00"/>
    <x v="6"/>
  </r>
  <r>
    <n v="20250212"/>
    <x v="2"/>
    <x v="3"/>
    <n v="30"/>
    <n v="64.133333333333297"/>
    <n v="0"/>
    <n v="3"/>
    <d v="2025-02-12T00:00:00"/>
    <x v="6"/>
  </r>
  <r>
    <n v="20250213"/>
    <x v="2"/>
    <x v="3"/>
    <n v="24"/>
    <n v="65.875"/>
    <n v="0"/>
    <n v="0"/>
    <d v="2025-02-13T00:00:00"/>
    <x v="6"/>
  </r>
  <r>
    <n v="20250213"/>
    <x v="4"/>
    <x v="3"/>
    <n v="2"/>
    <n v="1"/>
    <n v="0"/>
    <n v="0"/>
    <d v="2025-02-13T00:00:00"/>
    <x v="6"/>
  </r>
  <r>
    <n v="20250213"/>
    <x v="3"/>
    <x v="3"/>
    <n v="2"/>
    <n v="2"/>
    <n v="0"/>
    <n v="0"/>
    <d v="2025-02-13T00:00:00"/>
    <x v="6"/>
  </r>
  <r>
    <n v="20250213"/>
    <x v="0"/>
    <x v="3"/>
    <n v="1"/>
    <n v="2"/>
    <n v="0"/>
    <n v="2"/>
    <d v="2025-02-13T00:00:00"/>
    <x v="6"/>
  </r>
  <r>
    <n v="20250214"/>
    <x v="2"/>
    <x v="3"/>
    <n v="23"/>
    <n v="45.565217391304301"/>
    <n v="0"/>
    <n v="0"/>
    <d v="2025-02-14T00:00:00"/>
    <x v="6"/>
  </r>
  <r>
    <n v="20250214"/>
    <x v="3"/>
    <x v="3"/>
    <n v="1"/>
    <n v="42"/>
    <n v="0"/>
    <n v="0"/>
    <d v="2025-02-14T00:00:00"/>
    <x v="6"/>
  </r>
  <r>
    <n v="20250215"/>
    <x v="2"/>
    <x v="3"/>
    <n v="25"/>
    <n v="41.64"/>
    <n v="0"/>
    <n v="0"/>
    <d v="2025-02-15T00:00:00"/>
    <x v="6"/>
  </r>
  <r>
    <n v="20250215"/>
    <x v="0"/>
    <x v="8"/>
    <n v="3"/>
    <n v="14.3333333333333"/>
    <n v="0"/>
    <n v="0"/>
    <d v="2025-02-15T00:00:00"/>
    <x v="6"/>
  </r>
  <r>
    <n v="20250215"/>
    <x v="0"/>
    <x v="3"/>
    <n v="1"/>
    <n v="15"/>
    <n v="0"/>
    <n v="0"/>
    <d v="2025-02-15T00:00:00"/>
    <x v="6"/>
  </r>
  <r>
    <n v="20250216"/>
    <x v="2"/>
    <x v="3"/>
    <n v="17"/>
    <n v="59.764705882352899"/>
    <n v="0"/>
    <n v="0"/>
    <d v="2025-02-16T00:00:00"/>
    <x v="7"/>
  </r>
  <r>
    <n v="20250216"/>
    <x v="1"/>
    <x v="3"/>
    <n v="2"/>
    <n v="74"/>
    <n v="0"/>
    <n v="0"/>
    <d v="2025-02-16T00:00:00"/>
    <x v="7"/>
  </r>
  <r>
    <n v="20250216"/>
    <x v="7"/>
    <x v="3"/>
    <n v="1"/>
    <n v="1"/>
    <n v="0"/>
    <n v="0"/>
    <d v="2025-02-16T00:00:00"/>
    <x v="7"/>
  </r>
  <r>
    <n v="20250216"/>
    <x v="2"/>
    <x v="2"/>
    <n v="1"/>
    <n v="38"/>
    <n v="0"/>
    <n v="0"/>
    <d v="2025-02-16T00:00:00"/>
    <x v="7"/>
  </r>
  <r>
    <n v="20250216"/>
    <x v="0"/>
    <x v="3"/>
    <n v="1"/>
    <n v="32"/>
    <n v="0"/>
    <n v="0"/>
    <d v="2025-02-16T00:00:00"/>
    <x v="7"/>
  </r>
  <r>
    <n v="20250217"/>
    <x v="2"/>
    <x v="3"/>
    <n v="20"/>
    <n v="70.400000000000006"/>
    <n v="0"/>
    <n v="0"/>
    <d v="2025-02-17T00:00:00"/>
    <x v="7"/>
  </r>
  <r>
    <n v="20250218"/>
    <x v="2"/>
    <x v="3"/>
    <n v="17"/>
    <n v="70"/>
    <n v="0"/>
    <n v="0"/>
    <d v="2025-02-18T00:00:00"/>
    <x v="7"/>
  </r>
  <r>
    <n v="20250218"/>
    <x v="0"/>
    <x v="3"/>
    <n v="1"/>
    <n v="47"/>
    <n v="0"/>
    <n v="0"/>
    <d v="2025-02-18T00:00:00"/>
    <x v="7"/>
  </r>
  <r>
    <n v="20250219"/>
    <x v="2"/>
    <x v="3"/>
    <n v="23"/>
    <n v="58.521739130434703"/>
    <n v="0"/>
    <n v="0"/>
    <d v="2025-02-19T00:00:00"/>
    <x v="7"/>
  </r>
  <r>
    <n v="20250219"/>
    <x v="0"/>
    <x v="3"/>
    <n v="2"/>
    <n v="18.5"/>
    <n v="0"/>
    <n v="0"/>
    <d v="2025-02-19T00:00:00"/>
    <x v="7"/>
  </r>
  <r>
    <n v="20250219"/>
    <x v="0"/>
    <x v="8"/>
    <n v="1"/>
    <n v="31"/>
    <n v="0"/>
    <n v="0"/>
    <d v="2025-02-19T00:00:00"/>
    <x v="7"/>
  </r>
  <r>
    <n v="20250220"/>
    <x v="2"/>
    <x v="3"/>
    <n v="19"/>
    <n v="60.684210526315702"/>
    <n v="0"/>
    <n v="0"/>
    <d v="2025-02-20T00:00:00"/>
    <x v="7"/>
  </r>
  <r>
    <n v="20250220"/>
    <x v="7"/>
    <x v="5"/>
    <n v="1"/>
    <n v="1"/>
    <n v="0"/>
    <n v="2"/>
    <d v="2025-02-20T00:00:00"/>
    <x v="7"/>
  </r>
  <r>
    <n v="20250220"/>
    <x v="2"/>
    <x v="2"/>
    <n v="1"/>
    <n v="25"/>
    <n v="0"/>
    <n v="0"/>
    <d v="2025-02-20T00:00:00"/>
    <x v="7"/>
  </r>
  <r>
    <n v="20250220"/>
    <x v="6"/>
    <x v="3"/>
    <n v="1"/>
    <n v="36"/>
    <n v="0"/>
    <n v="0"/>
    <d v="2025-02-20T00:00:00"/>
    <x v="7"/>
  </r>
  <r>
    <n v="20250220"/>
    <x v="0"/>
    <x v="5"/>
    <n v="1"/>
    <n v="1"/>
    <n v="0"/>
    <n v="0"/>
    <d v="2025-02-20T00:00:00"/>
    <x v="7"/>
  </r>
  <r>
    <n v="20250221"/>
    <x v="2"/>
    <x v="3"/>
    <n v="13"/>
    <n v="54"/>
    <n v="0"/>
    <n v="0"/>
    <d v="2025-02-21T00:00:00"/>
    <x v="7"/>
  </r>
  <r>
    <n v="20250222"/>
    <x v="2"/>
    <x v="3"/>
    <n v="7"/>
    <n v="84"/>
    <n v="0"/>
    <n v="1"/>
    <d v="2025-02-22T00:00:00"/>
    <x v="7"/>
  </r>
  <r>
    <n v="20250222"/>
    <x v="5"/>
    <x v="3"/>
    <n v="1"/>
    <n v="31"/>
    <n v="0"/>
    <n v="0"/>
    <d v="2025-02-22T00:00:00"/>
    <x v="7"/>
  </r>
  <r>
    <n v="20250223"/>
    <x v="2"/>
    <x v="3"/>
    <n v="10"/>
    <n v="75.3"/>
    <n v="0"/>
    <n v="0"/>
    <d v="2025-02-23T00:00:00"/>
    <x v="8"/>
  </r>
  <r>
    <n v="20250223"/>
    <x v="0"/>
    <x v="3"/>
    <n v="2"/>
    <n v="16.5"/>
    <n v="0"/>
    <n v="0"/>
    <d v="2025-02-23T00:00:00"/>
    <x v="8"/>
  </r>
  <r>
    <n v="20250224"/>
    <x v="2"/>
    <x v="3"/>
    <n v="3"/>
    <n v="36.6666666666666"/>
    <n v="0"/>
    <n v="0"/>
    <d v="2025-02-24T00:00:00"/>
    <x v="8"/>
  </r>
  <r>
    <n v="20250225"/>
    <x v="2"/>
    <x v="3"/>
    <n v="4"/>
    <n v="39.25"/>
    <n v="0"/>
    <n v="0"/>
    <d v="2025-02-25T00:00:00"/>
    <x v="8"/>
  </r>
  <r>
    <n v="20250225"/>
    <x v="0"/>
    <x v="2"/>
    <n v="3"/>
    <n v="1"/>
    <n v="0"/>
    <n v="5"/>
    <d v="2025-02-25T00:00:00"/>
    <x v="8"/>
  </r>
  <r>
    <n v="20250226"/>
    <x v="0"/>
    <x v="5"/>
    <n v="2"/>
    <n v="1"/>
    <n v="0"/>
    <n v="0"/>
    <d v="2025-02-26T00:00:00"/>
    <x v="8"/>
  </r>
  <r>
    <n v="20250226"/>
    <x v="3"/>
    <x v="5"/>
    <n v="1"/>
    <n v="1"/>
    <n v="0"/>
    <n v="0"/>
    <d v="2025-02-26T00:00:00"/>
    <x v="8"/>
  </r>
  <r>
    <n v="20250226"/>
    <x v="3"/>
    <x v="3"/>
    <n v="1"/>
    <n v="37"/>
    <n v="0"/>
    <n v="0"/>
    <d v="2025-02-26T00:00:00"/>
    <x v="8"/>
  </r>
  <r>
    <n v="20250226"/>
    <x v="2"/>
    <x v="3"/>
    <n v="1"/>
    <n v="31"/>
    <n v="0"/>
    <n v="0"/>
    <d v="2025-02-26T00:00:00"/>
    <x v="8"/>
  </r>
  <r>
    <n v="20250227"/>
    <x v="0"/>
    <x v="3"/>
    <n v="1"/>
    <n v="15"/>
    <n v="0"/>
    <n v="0"/>
    <d v="2025-02-27T00:00:00"/>
    <x v="8"/>
  </r>
  <r>
    <n v="20250227"/>
    <x v="2"/>
    <x v="3"/>
    <n v="1"/>
    <n v="87"/>
    <n v="0"/>
    <n v="0"/>
    <d v="2025-02-27T00:00:00"/>
    <x v="8"/>
  </r>
  <r>
    <n v="20250228"/>
    <x v="0"/>
    <x v="1"/>
    <n v="3"/>
    <n v="66.6666666666666"/>
    <n v="0"/>
    <n v="0"/>
    <d v="2025-02-28T00:00:00"/>
    <x v="8"/>
  </r>
  <r>
    <n v="20250228"/>
    <x v="5"/>
    <x v="3"/>
    <n v="2"/>
    <n v="23"/>
    <n v="0"/>
    <n v="0"/>
    <d v="2025-02-28T00:00:00"/>
    <x v="8"/>
  </r>
  <r>
    <n v="20250228"/>
    <x v="7"/>
    <x v="3"/>
    <n v="1"/>
    <n v="21"/>
    <n v="0"/>
    <n v="0"/>
    <d v="2025-02-28T00:00:00"/>
    <x v="8"/>
  </r>
  <r>
    <n v="20250228"/>
    <x v="0"/>
    <x v="3"/>
    <n v="1"/>
    <n v="22"/>
    <n v="0"/>
    <n v="0"/>
    <d v="2025-02-28T00:00:00"/>
    <x v="8"/>
  </r>
  <r>
    <n v="20250301"/>
    <x v="2"/>
    <x v="3"/>
    <n v="2"/>
    <n v="25"/>
    <n v="0"/>
    <n v="0"/>
    <d v="2025-03-01T00:00:00"/>
    <x v="8"/>
  </r>
  <r>
    <n v="20250301"/>
    <x v="0"/>
    <x v="3"/>
    <n v="2"/>
    <n v="14.5"/>
    <n v="0"/>
    <n v="0"/>
    <d v="2025-03-01T00:00:00"/>
    <x v="8"/>
  </r>
  <r>
    <n v="20250301"/>
    <x v="3"/>
    <x v="3"/>
    <n v="1"/>
    <n v="2"/>
    <n v="0"/>
    <n v="0"/>
    <d v="2025-03-01T00:00:00"/>
    <x v="8"/>
  </r>
  <r>
    <n v="20250301"/>
    <x v="7"/>
    <x v="3"/>
    <n v="1"/>
    <n v="23"/>
    <n v="0"/>
    <n v="0"/>
    <d v="2025-03-01T00:00:00"/>
    <x v="8"/>
  </r>
  <r>
    <n v="20250301"/>
    <x v="6"/>
    <x v="3"/>
    <n v="1"/>
    <n v="2"/>
    <n v="0"/>
    <n v="2"/>
    <d v="2025-03-01T00:00:00"/>
    <x v="8"/>
  </r>
  <r>
    <n v="20250302"/>
    <x v="5"/>
    <x v="3"/>
    <n v="4"/>
    <n v="1"/>
    <n v="0"/>
    <n v="0"/>
    <d v="2025-03-02T00:00:00"/>
    <x v="9"/>
  </r>
  <r>
    <n v="20250302"/>
    <x v="2"/>
    <x v="3"/>
    <n v="2"/>
    <n v="22"/>
    <n v="0"/>
    <n v="0"/>
    <d v="2025-03-02T00:00:00"/>
    <x v="9"/>
  </r>
  <r>
    <n v="20250302"/>
    <x v="0"/>
    <x v="3"/>
    <n v="1"/>
    <n v="34"/>
    <n v="0"/>
    <n v="0"/>
    <d v="2025-03-02T00:00:00"/>
    <x v="9"/>
  </r>
  <r>
    <n v="20250302"/>
    <x v="1"/>
    <x v="3"/>
    <n v="1"/>
    <n v="31"/>
    <n v="0"/>
    <n v="0"/>
    <d v="2025-03-02T00:00:00"/>
    <x v="9"/>
  </r>
  <r>
    <n v="20250303"/>
    <x v="7"/>
    <x v="3"/>
    <n v="3"/>
    <n v="20.6666666666666"/>
    <n v="0"/>
    <n v="0"/>
    <d v="2025-03-03T00:00:00"/>
    <x v="9"/>
  </r>
  <r>
    <n v="20250303"/>
    <x v="2"/>
    <x v="3"/>
    <n v="1"/>
    <n v="10"/>
    <n v="0"/>
    <n v="0"/>
    <d v="2025-03-03T00:00:00"/>
    <x v="9"/>
  </r>
  <r>
    <n v="20250304"/>
    <x v="5"/>
    <x v="3"/>
    <n v="2"/>
    <n v="39"/>
    <n v="0"/>
    <n v="0"/>
    <d v="2025-03-04T00:00:00"/>
    <x v="9"/>
  </r>
  <r>
    <n v="20250304"/>
    <x v="2"/>
    <x v="3"/>
    <n v="1"/>
    <n v="13"/>
    <n v="0"/>
    <n v="0"/>
    <d v="2025-03-04T00:00:00"/>
    <x v="9"/>
  </r>
  <r>
    <n v="20250304"/>
    <x v="3"/>
    <x v="5"/>
    <n v="1"/>
    <n v="1"/>
    <n v="0"/>
    <n v="0"/>
    <d v="2025-03-04T00:00:00"/>
    <x v="9"/>
  </r>
  <r>
    <n v="20250305"/>
    <x v="1"/>
    <x v="1"/>
    <n v="1"/>
    <n v="21"/>
    <n v="0"/>
    <n v="0"/>
    <d v="2025-03-05T00:00:00"/>
    <x v="9"/>
  </r>
  <r>
    <n v="20250307"/>
    <x v="2"/>
    <x v="3"/>
    <n v="1"/>
    <n v="36"/>
    <n v="0"/>
    <n v="0"/>
    <d v="2025-03-07T00:00:00"/>
    <x v="9"/>
  </r>
  <r>
    <n v="20250307"/>
    <x v="3"/>
    <x v="3"/>
    <n v="1"/>
    <n v="73"/>
    <n v="0"/>
    <n v="0"/>
    <d v="2025-03-07T00:00:00"/>
    <x v="9"/>
  </r>
  <r>
    <n v="20250307"/>
    <x v="1"/>
    <x v="0"/>
    <n v="1"/>
    <n v="45"/>
    <n v="0"/>
    <n v="0"/>
    <d v="2025-03-07T00:00:00"/>
    <x v="9"/>
  </r>
  <r>
    <n v="20250308"/>
    <x v="3"/>
    <x v="3"/>
    <n v="1"/>
    <n v="35"/>
    <n v="0"/>
    <n v="0"/>
    <d v="2025-03-08T00:00:00"/>
    <x v="9"/>
  </r>
  <r>
    <n v="20250308"/>
    <x v="3"/>
    <x v="5"/>
    <n v="1"/>
    <n v="2"/>
    <n v="0"/>
    <n v="0"/>
    <d v="2025-03-08T00:00:00"/>
    <x v="9"/>
  </r>
  <r>
    <n v="20250309"/>
    <x v="2"/>
    <x v="3"/>
    <n v="1"/>
    <n v="21"/>
    <n v="0"/>
    <n v="0"/>
    <d v="2025-03-09T00:00:00"/>
    <x v="10"/>
  </r>
  <r>
    <n v="20250309"/>
    <x v="6"/>
    <x v="5"/>
    <n v="1"/>
    <n v="37"/>
    <n v="0"/>
    <n v="0"/>
    <d v="2025-03-09T00:00:00"/>
    <x v="10"/>
  </r>
  <r>
    <n v="20250310"/>
    <x v="2"/>
    <x v="3"/>
    <n v="6"/>
    <n v="62"/>
    <n v="0"/>
    <n v="0"/>
    <d v="2025-03-10T00:00:00"/>
    <x v="10"/>
  </r>
  <r>
    <n v="20250310"/>
    <x v="3"/>
    <x v="5"/>
    <n v="1"/>
    <n v="1"/>
    <n v="0"/>
    <n v="0"/>
    <d v="2025-03-10T00:00:00"/>
    <x v="10"/>
  </r>
  <r>
    <n v="20250311"/>
    <x v="2"/>
    <x v="3"/>
    <n v="2"/>
    <n v="47"/>
    <n v="0"/>
    <n v="0"/>
    <d v="2025-03-11T00:00:00"/>
    <x v="10"/>
  </r>
  <r>
    <n v="20250311"/>
    <x v="1"/>
    <x v="3"/>
    <n v="1"/>
    <n v="15"/>
    <n v="0"/>
    <n v="0"/>
    <d v="2025-03-11T00:00:00"/>
    <x v="10"/>
  </r>
  <r>
    <n v="20250311"/>
    <x v="0"/>
    <x v="2"/>
    <n v="1"/>
    <n v="1"/>
    <n v="0"/>
    <n v="0"/>
    <d v="2025-03-11T00:00:00"/>
    <x v="10"/>
  </r>
  <r>
    <n v="20250312"/>
    <x v="2"/>
    <x v="3"/>
    <n v="4"/>
    <n v="13.25"/>
    <n v="0"/>
    <n v="0"/>
    <d v="2025-03-12T00:00:00"/>
    <x v="10"/>
  </r>
  <r>
    <n v="20250312"/>
    <x v="0"/>
    <x v="3"/>
    <n v="3"/>
    <n v="12"/>
    <n v="0"/>
    <n v="0"/>
    <d v="2025-03-12T00:00:00"/>
    <x v="10"/>
  </r>
  <r>
    <n v="20250312"/>
    <x v="2"/>
    <x v="5"/>
    <n v="1"/>
    <n v="26"/>
    <n v="0"/>
    <n v="0"/>
    <d v="2025-03-12T00:00:00"/>
    <x v="10"/>
  </r>
  <r>
    <n v="20250313"/>
    <x v="2"/>
    <x v="3"/>
    <n v="4"/>
    <n v="14.5"/>
    <n v="0"/>
    <n v="0"/>
    <d v="2025-03-13T00:00:00"/>
    <x v="10"/>
  </r>
  <r>
    <n v="20250313"/>
    <x v="0"/>
    <x v="3"/>
    <n v="2"/>
    <n v="10.5"/>
    <n v="0"/>
    <n v="0"/>
    <d v="2025-03-13T00:00:00"/>
    <x v="10"/>
  </r>
  <r>
    <n v="20250313"/>
    <x v="2"/>
    <x v="8"/>
    <n v="2"/>
    <n v="44.5"/>
    <n v="0"/>
    <n v="0"/>
    <d v="2025-03-13T00:00:00"/>
    <x v="10"/>
  </r>
  <r>
    <n v="20250313"/>
    <x v="5"/>
    <x v="3"/>
    <n v="1"/>
    <n v="36"/>
    <n v="0"/>
    <n v="0"/>
    <d v="2025-03-13T00:00:00"/>
    <x v="10"/>
  </r>
  <r>
    <n v="20250313"/>
    <x v="0"/>
    <x v="5"/>
    <n v="1"/>
    <n v="1"/>
    <n v="0"/>
    <n v="0"/>
    <d v="2025-03-13T00:00:00"/>
    <x v="10"/>
  </r>
  <r>
    <n v="20250314"/>
    <x v="3"/>
    <x v="5"/>
    <n v="6"/>
    <n v="1"/>
    <n v="0"/>
    <n v="0"/>
    <d v="2025-03-14T00:00:00"/>
    <x v="10"/>
  </r>
  <r>
    <n v="20250314"/>
    <x v="5"/>
    <x v="3"/>
    <n v="4"/>
    <n v="1"/>
    <n v="0"/>
    <n v="1"/>
    <d v="2025-03-14T00:00:00"/>
    <x v="10"/>
  </r>
  <r>
    <n v="20250314"/>
    <x v="0"/>
    <x v="5"/>
    <n v="3"/>
    <n v="1"/>
    <n v="0"/>
    <n v="0"/>
    <d v="2025-03-14T00:00:00"/>
    <x v="10"/>
  </r>
  <r>
    <n v="20250315"/>
    <x v="0"/>
    <x v="5"/>
    <n v="5"/>
    <n v="33.4"/>
    <n v="0"/>
    <n v="3"/>
    <d v="2025-03-15T00:00:00"/>
    <x v="10"/>
  </r>
  <r>
    <n v="20250315"/>
    <x v="3"/>
    <x v="6"/>
    <n v="4"/>
    <n v="2"/>
    <n v="0"/>
    <n v="0"/>
    <d v="2025-03-15T00:00:00"/>
    <x v="10"/>
  </r>
  <r>
    <n v="20250315"/>
    <x v="1"/>
    <x v="3"/>
    <n v="2"/>
    <n v="1"/>
    <n v="0"/>
    <n v="0"/>
    <d v="2025-03-15T00:00:00"/>
    <x v="10"/>
  </r>
  <r>
    <n v="20250315"/>
    <x v="3"/>
    <x v="5"/>
    <n v="1"/>
    <n v="1"/>
    <n v="0"/>
    <n v="0"/>
    <d v="2025-03-15T00:00:00"/>
    <x v="10"/>
  </r>
  <r>
    <n v="20250316"/>
    <x v="3"/>
    <x v="5"/>
    <n v="2"/>
    <n v="1"/>
    <n v="0"/>
    <n v="0"/>
    <d v="2025-03-16T00:00:00"/>
    <x v="11"/>
  </r>
  <r>
    <n v="20250316"/>
    <x v="2"/>
    <x v="3"/>
    <n v="1"/>
    <n v="1"/>
    <n v="0"/>
    <n v="0"/>
    <d v="2025-03-16T00:00:00"/>
    <x v="11"/>
  </r>
  <r>
    <n v="20250316"/>
    <x v="7"/>
    <x v="5"/>
    <n v="1"/>
    <n v="79"/>
    <n v="0"/>
    <n v="0"/>
    <d v="2025-03-16T00:00:00"/>
    <x v="11"/>
  </r>
  <r>
    <n v="20250316"/>
    <x v="0"/>
    <x v="3"/>
    <n v="1"/>
    <n v="12"/>
    <n v="0"/>
    <n v="0"/>
    <d v="2025-03-16T00:00:00"/>
    <x v="11"/>
  </r>
  <r>
    <n v="20250317"/>
    <x v="1"/>
    <x v="3"/>
    <n v="1"/>
    <n v="36"/>
    <n v="0"/>
    <n v="0"/>
    <d v="2025-03-17T00:00:00"/>
    <x v="11"/>
  </r>
  <r>
    <n v="20250318"/>
    <x v="0"/>
    <x v="10"/>
    <n v="3"/>
    <n v="1"/>
    <n v="0"/>
    <n v="1"/>
    <d v="2025-03-18T00:00:00"/>
    <x v="11"/>
  </r>
  <r>
    <n v="20250318"/>
    <x v="5"/>
    <x v="3"/>
    <n v="2"/>
    <n v="1"/>
    <n v="0"/>
    <n v="0"/>
    <d v="2025-03-18T00:00:00"/>
    <x v="11"/>
  </r>
  <r>
    <n v="20250318"/>
    <x v="3"/>
    <x v="3"/>
    <n v="2"/>
    <n v="6"/>
    <n v="0"/>
    <n v="0"/>
    <d v="2025-03-18T00:00:00"/>
    <x v="11"/>
  </r>
  <r>
    <n v="20250318"/>
    <x v="0"/>
    <x v="1"/>
    <n v="1"/>
    <n v="23"/>
    <n v="0"/>
    <n v="0"/>
    <d v="2025-03-18T00:00:00"/>
    <x v="11"/>
  </r>
  <r>
    <n v="20250318"/>
    <x v="2"/>
    <x v="3"/>
    <n v="1"/>
    <n v="66"/>
    <n v="0"/>
    <n v="0"/>
    <d v="2025-03-18T00:00:00"/>
    <x v="11"/>
  </r>
  <r>
    <n v="20250319"/>
    <x v="4"/>
    <x v="3"/>
    <n v="3"/>
    <n v="2"/>
    <n v="0"/>
    <n v="0"/>
    <d v="2025-03-19T00:00:00"/>
    <x v="11"/>
  </r>
  <r>
    <n v="20250319"/>
    <x v="5"/>
    <x v="3"/>
    <n v="1"/>
    <n v="1"/>
    <n v="0"/>
    <n v="0"/>
    <d v="2025-03-19T00:00:00"/>
    <x v="11"/>
  </r>
  <r>
    <n v="20250319"/>
    <x v="2"/>
    <x v="3"/>
    <n v="1"/>
    <n v="13"/>
    <n v="0"/>
    <n v="0"/>
    <d v="2025-03-19T00:00:00"/>
    <x v="11"/>
  </r>
  <r>
    <n v="20250320"/>
    <x v="0"/>
    <x v="3"/>
    <n v="1"/>
    <n v="27"/>
    <n v="0"/>
    <n v="0"/>
    <d v="2025-03-20T00:00:00"/>
    <x v="11"/>
  </r>
  <r>
    <n v="20250321"/>
    <x v="0"/>
    <x v="3"/>
    <n v="2"/>
    <n v="40"/>
    <n v="0"/>
    <n v="0"/>
    <d v="2025-03-21T00:00:00"/>
    <x v="11"/>
  </r>
  <r>
    <n v="20250321"/>
    <x v="0"/>
    <x v="10"/>
    <n v="1"/>
    <n v="2"/>
    <n v="0"/>
    <n v="0"/>
    <d v="2025-03-21T00:00:00"/>
    <x v="11"/>
  </r>
  <r>
    <n v="20250322"/>
    <x v="7"/>
    <x v="11"/>
    <n v="3"/>
    <n v="2"/>
    <n v="0"/>
    <n v="0"/>
    <d v="2025-03-22T00:00:00"/>
    <x v="11"/>
  </r>
  <r>
    <n v="20250322"/>
    <x v="2"/>
    <x v="3"/>
    <n v="2"/>
    <n v="15"/>
    <n v="0"/>
    <n v="0"/>
    <d v="2025-03-22T00:00:00"/>
    <x v="11"/>
  </r>
  <r>
    <n v="20250323"/>
    <x v="2"/>
    <x v="3"/>
    <n v="2"/>
    <n v="14"/>
    <n v="0"/>
    <n v="0"/>
    <d v="2025-03-23T00:00:00"/>
    <x v="12"/>
  </r>
  <r>
    <n v="20250323"/>
    <x v="3"/>
    <x v="1"/>
    <n v="1"/>
    <n v="38"/>
    <n v="0"/>
    <n v="0"/>
    <d v="2025-03-23T00:00:00"/>
    <x v="12"/>
  </r>
  <r>
    <n v="20250324"/>
    <x v="3"/>
    <x v="5"/>
    <n v="3"/>
    <n v="2"/>
    <n v="0"/>
    <n v="1"/>
    <d v="2025-03-24T00:00:00"/>
    <x v="12"/>
  </r>
  <r>
    <n v="20250325"/>
    <x v="2"/>
    <x v="3"/>
    <n v="1"/>
    <n v="4"/>
    <n v="0"/>
    <n v="0"/>
    <d v="2025-03-25T00:00:00"/>
    <x v="12"/>
  </r>
  <r>
    <n v="20250325"/>
    <x v="0"/>
    <x v="10"/>
    <n v="1"/>
    <n v="80"/>
    <n v="0"/>
    <n v="0"/>
    <d v="2025-03-25T00:00:00"/>
    <x v="12"/>
  </r>
  <r>
    <n v="20250326"/>
    <x v="0"/>
    <x v="8"/>
    <n v="2"/>
    <n v="31"/>
    <n v="0"/>
    <n v="0"/>
    <d v="2025-03-26T00:00:00"/>
    <x v="12"/>
  </r>
  <r>
    <n v="20250326"/>
    <x v="2"/>
    <x v="3"/>
    <n v="1"/>
    <n v="63"/>
    <n v="0"/>
    <n v="0"/>
    <d v="2025-03-26T00:00:00"/>
    <x v="12"/>
  </r>
  <r>
    <n v="20250327"/>
    <x v="2"/>
    <x v="3"/>
    <n v="5"/>
    <n v="33"/>
    <n v="0"/>
    <n v="0"/>
    <d v="2025-03-27T00:00:00"/>
    <x v="12"/>
  </r>
  <r>
    <n v="20250327"/>
    <x v="0"/>
    <x v="7"/>
    <n v="4"/>
    <n v="2"/>
    <n v="0"/>
    <n v="0"/>
    <d v="2025-03-27T00:00:00"/>
    <x v="12"/>
  </r>
  <r>
    <n v="20250327"/>
    <x v="0"/>
    <x v="3"/>
    <n v="1"/>
    <n v="29"/>
    <n v="0"/>
    <n v="0"/>
    <d v="2025-03-27T00:00:00"/>
    <x v="12"/>
  </r>
  <r>
    <n v="20250328"/>
    <x v="4"/>
    <x v="12"/>
    <n v="4"/>
    <n v="36.25"/>
    <n v="0"/>
    <n v="0"/>
    <d v="2025-03-28T00:00:00"/>
    <x v="12"/>
  </r>
  <r>
    <n v="20250328"/>
    <x v="7"/>
    <x v="3"/>
    <n v="2"/>
    <n v="8"/>
    <n v="0"/>
    <n v="0"/>
    <d v="2025-03-28T00:00:00"/>
    <x v="12"/>
  </r>
  <r>
    <n v="20250328"/>
    <x v="3"/>
    <x v="5"/>
    <n v="2"/>
    <n v="18.5"/>
    <n v="0"/>
    <n v="0"/>
    <d v="2025-03-28T00:00:00"/>
    <x v="12"/>
  </r>
  <r>
    <n v="20250328"/>
    <x v="3"/>
    <x v="3"/>
    <n v="1"/>
    <n v="39"/>
    <n v="0"/>
    <n v="0"/>
    <d v="2025-03-28T00:00:00"/>
    <x v="12"/>
  </r>
  <r>
    <n v="20250328"/>
    <x v="2"/>
    <x v="3"/>
    <n v="1"/>
    <n v="13"/>
    <n v="0"/>
    <n v="0"/>
    <d v="2025-03-28T00:00:00"/>
    <x v="12"/>
  </r>
  <r>
    <n v="20250329"/>
    <x v="2"/>
    <x v="3"/>
    <n v="1"/>
    <n v="35"/>
    <n v="0"/>
    <n v="0"/>
    <d v="2025-03-29T00:00:00"/>
    <x v="12"/>
  </r>
  <r>
    <n v="20250329"/>
    <x v="2"/>
    <x v="7"/>
    <n v="1"/>
    <n v="18"/>
    <n v="0"/>
    <n v="0"/>
    <d v="2025-03-29T00:00:00"/>
    <x v="12"/>
  </r>
  <r>
    <n v="20250329"/>
    <x v="0"/>
    <x v="10"/>
    <n v="1"/>
    <n v="44"/>
    <n v="0"/>
    <n v="0"/>
    <d v="2025-03-29T00:00:00"/>
    <x v="12"/>
  </r>
  <r>
    <n v="20250329"/>
    <x v="3"/>
    <x v="5"/>
    <n v="1"/>
    <n v="1"/>
    <n v="0"/>
    <n v="0"/>
    <d v="2025-03-29T00:00:00"/>
    <x v="12"/>
  </r>
  <r>
    <n v="20250329"/>
    <x v="3"/>
    <x v="4"/>
    <n v="1"/>
    <n v="2"/>
    <n v="0"/>
    <n v="0"/>
    <d v="2025-03-29T00:00:00"/>
    <x v="12"/>
  </r>
  <r>
    <n v="20250330"/>
    <x v="2"/>
    <x v="3"/>
    <n v="3"/>
    <n v="11"/>
    <n v="0"/>
    <n v="0"/>
    <d v="2025-03-30T00:00:00"/>
    <x v="13"/>
  </r>
  <r>
    <n v="20250330"/>
    <x v="0"/>
    <x v="13"/>
    <n v="1"/>
    <n v="38"/>
    <n v="0"/>
    <n v="0"/>
    <d v="2025-03-30T00:00:00"/>
    <x v="13"/>
  </r>
  <r>
    <n v="20250330"/>
    <x v="1"/>
    <x v="3"/>
    <n v="1"/>
    <n v="24"/>
    <n v="0"/>
    <n v="0"/>
    <d v="2025-03-30T00:00:00"/>
    <x v="13"/>
  </r>
  <r>
    <n v="20250330"/>
    <x v="0"/>
    <x v="7"/>
    <n v="1"/>
    <n v="1"/>
    <n v="0"/>
    <n v="0"/>
    <d v="2025-03-30T00:00:00"/>
    <x v="13"/>
  </r>
  <r>
    <n v="20250331"/>
    <x v="2"/>
    <x v="3"/>
    <n v="2"/>
    <n v="67"/>
    <n v="0"/>
    <n v="0"/>
    <d v="2025-03-31T00:00:00"/>
    <x v="13"/>
  </r>
  <r>
    <n v="20250331"/>
    <x v="0"/>
    <x v="5"/>
    <n v="1"/>
    <n v="2"/>
    <n v="0"/>
    <n v="0"/>
    <d v="2025-03-31T00:00:00"/>
    <x v="13"/>
  </r>
  <r>
    <n v="20250401"/>
    <x v="1"/>
    <x v="3"/>
    <n v="4"/>
    <n v="31.75"/>
    <n v="0"/>
    <n v="0"/>
    <d v="2025-04-01T00:00:00"/>
    <x v="13"/>
  </r>
  <r>
    <n v="20250401"/>
    <x v="3"/>
    <x v="4"/>
    <n v="2"/>
    <n v="1"/>
    <n v="0"/>
    <n v="0"/>
    <d v="2025-04-01T00:00:00"/>
    <x v="13"/>
  </r>
  <r>
    <n v="20250401"/>
    <x v="2"/>
    <x v="3"/>
    <n v="2"/>
    <n v="28.5"/>
    <n v="0"/>
    <n v="0"/>
    <d v="2025-04-01T00:00:00"/>
    <x v="13"/>
  </r>
  <r>
    <n v="20250401"/>
    <x v="0"/>
    <x v="5"/>
    <n v="1"/>
    <n v="95"/>
    <n v="0"/>
    <n v="0"/>
    <d v="2025-04-01T00:00:00"/>
    <x v="13"/>
  </r>
  <r>
    <n v="20250401"/>
    <x v="1"/>
    <x v="11"/>
    <n v="1"/>
    <n v="85"/>
    <n v="0"/>
    <n v="0"/>
    <d v="2025-04-01T00:00:00"/>
    <x v="13"/>
  </r>
  <r>
    <n v="20250402"/>
    <x v="1"/>
    <x v="2"/>
    <n v="4"/>
    <n v="2"/>
    <n v="0"/>
    <n v="0"/>
    <d v="2025-04-02T00:00:00"/>
    <x v="13"/>
  </r>
  <r>
    <n v="20250402"/>
    <x v="1"/>
    <x v="3"/>
    <n v="2"/>
    <n v="1"/>
    <n v="0"/>
    <n v="0"/>
    <d v="2025-04-02T00:00:00"/>
    <x v="13"/>
  </r>
  <r>
    <n v="20250402"/>
    <x v="2"/>
    <x v="3"/>
    <n v="1"/>
    <n v="21"/>
    <n v="0"/>
    <n v="0"/>
    <d v="2025-04-02T00:00:00"/>
    <x v="13"/>
  </r>
  <r>
    <n v="20250402"/>
    <x v="0"/>
    <x v="3"/>
    <n v="1"/>
    <n v="1"/>
    <n v="0"/>
    <n v="0"/>
    <d v="2025-04-02T00:00:00"/>
    <x v="13"/>
  </r>
  <r>
    <n v="20250403"/>
    <x v="3"/>
    <x v="5"/>
    <n v="3"/>
    <n v="11.3333333333333"/>
    <n v="0"/>
    <n v="0"/>
    <d v="2025-04-03T00:00:00"/>
    <x v="13"/>
  </r>
  <r>
    <n v="20250403"/>
    <x v="1"/>
    <x v="10"/>
    <n v="2"/>
    <n v="2"/>
    <n v="0"/>
    <n v="0"/>
    <d v="2025-04-03T00:00:00"/>
    <x v="13"/>
  </r>
  <r>
    <n v="20250404"/>
    <x v="3"/>
    <x v="5"/>
    <n v="1"/>
    <n v="80"/>
    <n v="0"/>
    <n v="0"/>
    <d v="2025-04-04T00:00:00"/>
    <x v="13"/>
  </r>
  <r>
    <n v="20250404"/>
    <x v="0"/>
    <x v="3"/>
    <n v="1"/>
    <n v="34"/>
    <n v="0"/>
    <n v="0"/>
    <d v="2025-04-04T00:00:00"/>
    <x v="13"/>
  </r>
  <r>
    <n v="20250404"/>
    <x v="2"/>
    <x v="12"/>
    <n v="1"/>
    <n v="86"/>
    <n v="0"/>
    <n v="0"/>
    <d v="2025-04-04T00:00:00"/>
    <x v="13"/>
  </r>
  <r>
    <n v="20250404"/>
    <x v="2"/>
    <x v="3"/>
    <n v="1"/>
    <n v="15"/>
    <n v="0"/>
    <n v="0"/>
    <d v="2025-04-04T00:00:00"/>
    <x v="13"/>
  </r>
  <r>
    <n v="20250405"/>
    <x v="0"/>
    <x v="3"/>
    <n v="4"/>
    <n v="1"/>
    <n v="0"/>
    <n v="0"/>
    <d v="2025-04-05T00:00:00"/>
    <x v="13"/>
  </r>
  <r>
    <n v="20250405"/>
    <x v="2"/>
    <x v="3"/>
    <n v="3"/>
    <n v="39"/>
    <n v="0"/>
    <n v="0"/>
    <d v="2025-04-05T00:00:00"/>
    <x v="13"/>
  </r>
  <r>
    <n v="20250405"/>
    <x v="3"/>
    <x v="5"/>
    <n v="3"/>
    <n v="50.6666666666666"/>
    <n v="0"/>
    <n v="0"/>
    <d v="2025-04-05T00:00:00"/>
    <x v="13"/>
  </r>
  <r>
    <n v="20250406"/>
    <x v="2"/>
    <x v="3"/>
    <n v="4"/>
    <n v="16"/>
    <n v="0"/>
    <n v="0"/>
    <d v="2025-04-06T00:00:00"/>
    <x v="14"/>
  </r>
  <r>
    <n v="20250406"/>
    <x v="6"/>
    <x v="4"/>
    <n v="3"/>
    <n v="1"/>
    <n v="0"/>
    <n v="0"/>
    <d v="2025-04-06T00:00:00"/>
    <x v="14"/>
  </r>
  <r>
    <n v="20250406"/>
    <x v="3"/>
    <x v="5"/>
    <n v="2"/>
    <n v="14"/>
    <n v="0"/>
    <n v="0"/>
    <d v="2025-04-06T00:00:00"/>
    <x v="14"/>
  </r>
  <r>
    <n v="20250406"/>
    <x v="3"/>
    <x v="4"/>
    <n v="2"/>
    <n v="1"/>
    <n v="0"/>
    <n v="0"/>
    <d v="2025-04-06T00:00:00"/>
    <x v="14"/>
  </r>
  <r>
    <n v="20250406"/>
    <x v="3"/>
    <x v="3"/>
    <n v="2"/>
    <n v="1"/>
    <n v="0"/>
    <n v="0"/>
    <d v="2025-04-06T00:00:00"/>
    <x v="14"/>
  </r>
  <r>
    <n v="20250406"/>
    <x v="0"/>
    <x v="3"/>
    <n v="1"/>
    <n v="32"/>
    <n v="0"/>
    <n v="1"/>
    <d v="2025-04-06T00:00:00"/>
    <x v="14"/>
  </r>
  <r>
    <n v="20250407"/>
    <x v="2"/>
    <x v="3"/>
    <n v="4"/>
    <n v="10.5"/>
    <n v="0"/>
    <n v="0"/>
    <d v="2025-04-07T00:00:00"/>
    <x v="14"/>
  </r>
  <r>
    <n v="20250407"/>
    <x v="0"/>
    <x v="2"/>
    <n v="3"/>
    <n v="2"/>
    <n v="0"/>
    <n v="0"/>
    <d v="2025-04-07T00:00:00"/>
    <x v="14"/>
  </r>
  <r>
    <n v="20250407"/>
    <x v="3"/>
    <x v="5"/>
    <n v="3"/>
    <n v="52"/>
    <n v="0"/>
    <n v="0"/>
    <d v="2025-04-07T00:00:00"/>
    <x v="14"/>
  </r>
  <r>
    <n v="20250407"/>
    <x v="1"/>
    <x v="3"/>
    <n v="1"/>
    <n v="25"/>
    <n v="0"/>
    <n v="0"/>
    <d v="2025-04-07T00:00:00"/>
    <x v="14"/>
  </r>
  <r>
    <n v="20250407"/>
    <x v="2"/>
    <x v="8"/>
    <n v="1"/>
    <n v="30"/>
    <n v="0"/>
    <n v="0"/>
    <d v="2025-04-07T00:00:00"/>
    <x v="14"/>
  </r>
  <r>
    <n v="20250407"/>
    <x v="0"/>
    <x v="8"/>
    <n v="1"/>
    <n v="80"/>
    <n v="0"/>
    <n v="0"/>
    <d v="2025-04-07T00:00:00"/>
    <x v="14"/>
  </r>
  <r>
    <n v="20250408"/>
    <x v="2"/>
    <x v="3"/>
    <n v="1"/>
    <n v="12"/>
    <n v="0"/>
    <n v="0"/>
    <d v="2025-04-08T00:00:00"/>
    <x v="14"/>
  </r>
  <r>
    <n v="20250408"/>
    <x v="1"/>
    <x v="7"/>
    <n v="1"/>
    <n v="2"/>
    <n v="0"/>
    <n v="0"/>
    <d v="2025-04-08T00:00:00"/>
    <x v="14"/>
  </r>
  <r>
    <n v="20250409"/>
    <x v="0"/>
    <x v="3"/>
    <n v="2"/>
    <n v="27"/>
    <n v="0"/>
    <n v="0"/>
    <d v="2025-04-09T00:00:00"/>
    <x v="14"/>
  </r>
  <r>
    <n v="20250409"/>
    <x v="0"/>
    <x v="1"/>
    <n v="1"/>
    <n v="20"/>
    <n v="0"/>
    <n v="0"/>
    <d v="2025-04-09T00:00:00"/>
    <x v="14"/>
  </r>
  <r>
    <n v="20250409"/>
    <x v="3"/>
    <x v="5"/>
    <n v="1"/>
    <n v="17"/>
    <n v="0"/>
    <n v="0"/>
    <d v="2025-04-09T00:00:00"/>
    <x v="14"/>
  </r>
  <r>
    <n v="20250410"/>
    <x v="0"/>
    <x v="7"/>
    <n v="3"/>
    <n v="2"/>
    <n v="0"/>
    <n v="0"/>
    <d v="2025-04-10T00:00:00"/>
    <x v="14"/>
  </r>
  <r>
    <n v="20250410"/>
    <x v="2"/>
    <x v="2"/>
    <n v="3"/>
    <n v="1"/>
    <n v="0"/>
    <n v="0"/>
    <d v="2025-04-10T00:00:00"/>
    <x v="14"/>
  </r>
  <r>
    <n v="20250411"/>
    <x v="2"/>
    <x v="2"/>
    <n v="1"/>
    <n v="11"/>
    <n v="0"/>
    <n v="0"/>
    <d v="2025-04-11T00:00:00"/>
    <x v="14"/>
  </r>
  <r>
    <n v="20250411"/>
    <x v="2"/>
    <x v="3"/>
    <n v="1"/>
    <n v="29"/>
    <n v="0"/>
    <n v="0"/>
    <d v="2025-04-11T00:00:00"/>
    <x v="14"/>
  </r>
  <r>
    <n v="20250412"/>
    <x v="3"/>
    <x v="5"/>
    <n v="3"/>
    <n v="1"/>
    <n v="0"/>
    <n v="0"/>
    <d v="2025-04-12T00:00:00"/>
    <x v="14"/>
  </r>
  <r>
    <n v="20250412"/>
    <x v="5"/>
    <x v="3"/>
    <n v="2"/>
    <n v="20"/>
    <n v="0"/>
    <n v="0"/>
    <d v="2025-04-12T00:00:00"/>
    <x v="14"/>
  </r>
  <r>
    <n v="20250412"/>
    <x v="1"/>
    <x v="3"/>
    <n v="1"/>
    <n v="1"/>
    <n v="0"/>
    <n v="0"/>
    <d v="2025-04-12T00:00:00"/>
    <x v="14"/>
  </r>
  <r>
    <n v="20250413"/>
    <x v="2"/>
    <x v="3"/>
    <n v="1"/>
    <n v="15"/>
    <n v="0"/>
    <n v="0"/>
    <d v="2025-04-13T00:00:00"/>
    <x v="15"/>
  </r>
  <r>
    <n v="20250413"/>
    <x v="0"/>
    <x v="14"/>
    <n v="1"/>
    <n v="1"/>
    <n v="0"/>
    <n v="0"/>
    <d v="2025-04-13T00:00:00"/>
    <x v="15"/>
  </r>
  <r>
    <n v="20250414"/>
    <x v="0"/>
    <x v="4"/>
    <n v="3"/>
    <n v="1"/>
    <n v="0"/>
    <n v="0"/>
    <d v="2025-04-14T00:00:00"/>
    <x v="15"/>
  </r>
  <r>
    <n v="20250414"/>
    <x v="1"/>
    <x v="3"/>
    <n v="1"/>
    <n v="1"/>
    <n v="0"/>
    <n v="0"/>
    <d v="2025-04-14T00:00:00"/>
    <x v="15"/>
  </r>
  <r>
    <n v="20250414"/>
    <x v="2"/>
    <x v="3"/>
    <n v="1"/>
    <n v="23"/>
    <n v="0"/>
    <n v="0"/>
    <d v="2025-04-14T00:00:00"/>
    <x v="15"/>
  </r>
  <r>
    <n v="20250414"/>
    <x v="4"/>
    <x v="4"/>
    <n v="1"/>
    <n v="1"/>
    <n v="0"/>
    <n v="0"/>
    <d v="2025-04-14T00:00:00"/>
    <x v="15"/>
  </r>
  <r>
    <n v="20250414"/>
    <x v="2"/>
    <x v="2"/>
    <n v="1"/>
    <n v="1"/>
    <n v="0"/>
    <n v="0"/>
    <d v="2025-04-14T00:00:00"/>
    <x v="15"/>
  </r>
  <r>
    <n v="20250415"/>
    <x v="3"/>
    <x v="3"/>
    <n v="3"/>
    <n v="2"/>
    <n v="0"/>
    <n v="0"/>
    <d v="2025-04-15T00:00:00"/>
    <x v="15"/>
  </r>
  <r>
    <n v="20250415"/>
    <x v="2"/>
    <x v="2"/>
    <n v="3"/>
    <n v="1"/>
    <n v="0"/>
    <n v="0"/>
    <d v="2025-04-15T00:00:00"/>
    <x v="15"/>
  </r>
  <r>
    <n v="20250415"/>
    <x v="0"/>
    <x v="3"/>
    <n v="1"/>
    <n v="18"/>
    <n v="0"/>
    <n v="0"/>
    <d v="2025-04-15T00:00:00"/>
    <x v="15"/>
  </r>
  <r>
    <n v="20250416"/>
    <x v="3"/>
    <x v="3"/>
    <n v="4"/>
    <n v="1"/>
    <n v="0"/>
    <n v="0"/>
    <d v="2025-04-16T00:00:00"/>
    <x v="15"/>
  </r>
  <r>
    <n v="20250416"/>
    <x v="2"/>
    <x v="7"/>
    <n v="1"/>
    <n v="40"/>
    <n v="0"/>
    <n v="0"/>
    <d v="2025-04-16T00:00:00"/>
    <x v="15"/>
  </r>
  <r>
    <n v="20250416"/>
    <x v="2"/>
    <x v="3"/>
    <n v="1"/>
    <n v="46"/>
    <n v="0"/>
    <n v="7"/>
    <d v="2025-04-16T00:00:00"/>
    <x v="15"/>
  </r>
  <r>
    <n v="20250416"/>
    <x v="6"/>
    <x v="3"/>
    <n v="1"/>
    <n v="26"/>
    <n v="0"/>
    <n v="0"/>
    <d v="2025-04-16T00:00:00"/>
    <x v="15"/>
  </r>
  <r>
    <n v="20250417"/>
    <x v="3"/>
    <x v="3"/>
    <n v="1"/>
    <n v="1"/>
    <n v="0"/>
    <n v="0"/>
    <d v="2025-04-17T00:00:00"/>
    <x v="15"/>
  </r>
  <r>
    <n v="20250418"/>
    <x v="0"/>
    <x v="3"/>
    <n v="5"/>
    <n v="39.200000000000003"/>
    <n v="0"/>
    <n v="5"/>
    <d v="2025-04-18T00:00:00"/>
    <x v="15"/>
  </r>
  <r>
    <n v="20250418"/>
    <x v="2"/>
    <x v="3"/>
    <n v="4"/>
    <n v="75.25"/>
    <n v="0"/>
    <n v="0"/>
    <d v="2025-04-18T00:00:00"/>
    <x v="15"/>
  </r>
  <r>
    <n v="20250419"/>
    <x v="2"/>
    <x v="3"/>
    <n v="3"/>
    <n v="58"/>
    <n v="0"/>
    <n v="0"/>
    <d v="2025-04-19T00:00:00"/>
    <x v="15"/>
  </r>
  <r>
    <n v="20250420"/>
    <x v="2"/>
    <x v="3"/>
    <n v="3"/>
    <n v="15.3333333333333"/>
    <n v="0"/>
    <n v="0"/>
    <d v="2025-04-20T00:00:00"/>
    <x v="16"/>
  </r>
  <r>
    <n v="20250420"/>
    <x v="1"/>
    <x v="7"/>
    <n v="2"/>
    <n v="1"/>
    <n v="0"/>
    <n v="0"/>
    <d v="2025-04-20T00:00:00"/>
    <x v="16"/>
  </r>
  <r>
    <n v="20250420"/>
    <x v="0"/>
    <x v="3"/>
    <n v="1"/>
    <n v="20"/>
    <n v="0"/>
    <n v="0"/>
    <d v="2025-04-20T00:00:00"/>
    <x v="16"/>
  </r>
  <r>
    <n v="20250421"/>
    <x v="2"/>
    <x v="5"/>
    <n v="2"/>
    <n v="45"/>
    <n v="0"/>
    <n v="0"/>
    <d v="2025-04-21T00:00:00"/>
    <x v="16"/>
  </r>
  <r>
    <n v="20250421"/>
    <x v="2"/>
    <x v="3"/>
    <n v="1"/>
    <n v="55"/>
    <n v="0"/>
    <n v="0"/>
    <d v="2025-04-21T00:00:00"/>
    <x v="16"/>
  </r>
  <r>
    <n v="20250421"/>
    <x v="0"/>
    <x v="3"/>
    <n v="1"/>
    <n v="16"/>
    <n v="0"/>
    <n v="0"/>
    <d v="2025-04-21T00:00:00"/>
    <x v="16"/>
  </r>
  <r>
    <n v="20250422"/>
    <x v="2"/>
    <x v="3"/>
    <n v="3"/>
    <n v="8.3333333333333304"/>
    <n v="0"/>
    <n v="0"/>
    <d v="2025-04-22T00:00:00"/>
    <x v="16"/>
  </r>
  <r>
    <n v="20250423"/>
    <x v="5"/>
    <x v="3"/>
    <n v="1"/>
    <n v="18"/>
    <n v="0"/>
    <n v="0"/>
    <d v="2025-04-23T00:00:00"/>
    <x v="16"/>
  </r>
  <r>
    <n v="20250423"/>
    <x v="3"/>
    <x v="5"/>
    <n v="1"/>
    <n v="84"/>
    <n v="0"/>
    <n v="0"/>
    <d v="2025-04-23T00:00:00"/>
    <x v="16"/>
  </r>
  <r>
    <n v="20250423"/>
    <x v="0"/>
    <x v="3"/>
    <n v="1"/>
    <n v="31"/>
    <n v="0"/>
    <n v="0"/>
    <d v="2025-04-23T00:00:00"/>
    <x v="16"/>
  </r>
  <r>
    <n v="20250424"/>
    <x v="0"/>
    <x v="3"/>
    <n v="4"/>
    <n v="19.75"/>
    <n v="0"/>
    <n v="1"/>
    <d v="2025-04-24T00:00:00"/>
    <x v="16"/>
  </r>
  <r>
    <n v="20250424"/>
    <x v="1"/>
    <x v="3"/>
    <n v="2"/>
    <n v="19"/>
    <n v="0"/>
    <n v="0"/>
    <d v="2025-04-24T00:00:00"/>
    <x v="16"/>
  </r>
  <r>
    <n v="20250425"/>
    <x v="0"/>
    <x v="0"/>
    <n v="1"/>
    <n v="46"/>
    <n v="0"/>
    <n v="0"/>
    <d v="2025-04-25T00:00:00"/>
    <x v="16"/>
  </r>
  <r>
    <n v="20250425"/>
    <x v="2"/>
    <x v="3"/>
    <n v="1"/>
    <n v="2"/>
    <n v="0"/>
    <n v="0"/>
    <d v="2025-04-25T00:00:00"/>
    <x v="16"/>
  </r>
  <r>
    <n v="20250426"/>
    <x v="0"/>
    <x v="3"/>
    <n v="3"/>
    <n v="41.6666666666666"/>
    <n v="0"/>
    <n v="0"/>
    <d v="2025-04-26T00:00:00"/>
    <x v="16"/>
  </r>
  <r>
    <n v="20250426"/>
    <x v="0"/>
    <x v="8"/>
    <n v="3"/>
    <n v="37.6666666666666"/>
    <n v="0"/>
    <n v="0"/>
    <d v="2025-04-26T00:00:00"/>
    <x v="16"/>
  </r>
  <r>
    <n v="20250426"/>
    <x v="0"/>
    <x v="14"/>
    <n v="1"/>
    <n v="48"/>
    <n v="0"/>
    <n v="0"/>
    <d v="2025-04-26T00:00:00"/>
    <x v="16"/>
  </r>
  <r>
    <n v="20250427"/>
    <x v="0"/>
    <x v="3"/>
    <n v="1"/>
    <n v="40"/>
    <n v="0"/>
    <n v="0"/>
    <d v="2025-04-27T00:00:00"/>
    <x v="17"/>
  </r>
  <r>
    <n v="20250427"/>
    <x v="0"/>
    <x v="7"/>
    <n v="1"/>
    <n v="1"/>
    <n v="0"/>
    <n v="0"/>
    <d v="2025-04-27T00:00:00"/>
    <x v="17"/>
  </r>
  <r>
    <n v="20250427"/>
    <x v="1"/>
    <x v="3"/>
    <n v="1"/>
    <n v="30"/>
    <n v="0"/>
    <n v="0"/>
    <d v="2025-04-27T00:00:00"/>
    <x v="17"/>
  </r>
  <r>
    <n v="20250428"/>
    <x v="5"/>
    <x v="3"/>
    <n v="3"/>
    <n v="15.3333333333333"/>
    <n v="0"/>
    <n v="0"/>
    <d v="2025-04-28T00:00:00"/>
    <x v="17"/>
  </r>
  <r>
    <n v="20250428"/>
    <x v="2"/>
    <x v="3"/>
    <n v="2"/>
    <n v="63.5"/>
    <n v="0"/>
    <n v="0"/>
    <d v="2025-04-28T00:00:00"/>
    <x v="17"/>
  </r>
  <r>
    <n v="20250428"/>
    <x v="3"/>
    <x v="3"/>
    <n v="1"/>
    <n v="21"/>
    <n v="0"/>
    <n v="0"/>
    <d v="2025-04-28T00:00:00"/>
    <x v="17"/>
  </r>
  <r>
    <n v="20250428"/>
    <x v="0"/>
    <x v="3"/>
    <n v="1"/>
    <n v="21"/>
    <n v="0"/>
    <n v="0"/>
    <d v="2025-04-28T00:00:00"/>
    <x v="17"/>
  </r>
  <r>
    <n v="20250428"/>
    <x v="4"/>
    <x v="12"/>
    <n v="1"/>
    <n v="15"/>
    <n v="0"/>
    <n v="0"/>
    <d v="2025-04-28T00:00:00"/>
    <x v="17"/>
  </r>
  <r>
    <n v="20250428"/>
    <x v="4"/>
    <x v="3"/>
    <n v="1"/>
    <n v="37"/>
    <n v="0"/>
    <n v="0"/>
    <d v="2025-04-28T00:00:00"/>
    <x v="17"/>
  </r>
  <r>
    <n v="20250428"/>
    <x v="1"/>
    <x v="3"/>
    <n v="1"/>
    <n v="37"/>
    <n v="0"/>
    <n v="0"/>
    <d v="2025-04-28T00:00:00"/>
    <x v="17"/>
  </r>
  <r>
    <n v="20250429"/>
    <x v="2"/>
    <x v="3"/>
    <n v="5"/>
    <n v="25.8"/>
    <n v="0"/>
    <n v="0"/>
    <d v="2025-04-29T00:00:00"/>
    <x v="17"/>
  </r>
  <r>
    <n v="20250429"/>
    <x v="3"/>
    <x v="4"/>
    <n v="1"/>
    <n v="2"/>
    <n v="0"/>
    <n v="0"/>
    <d v="2025-04-29T00:00:00"/>
    <x v="17"/>
  </r>
  <r>
    <n v="20250430"/>
    <x v="0"/>
    <x v="3"/>
    <n v="4"/>
    <n v="1"/>
    <n v="0"/>
    <n v="0"/>
    <d v="2025-04-30T00:00:00"/>
    <x v="17"/>
  </r>
  <r>
    <n v="20250430"/>
    <x v="1"/>
    <x v="6"/>
    <n v="3"/>
    <n v="1"/>
    <n v="0"/>
    <n v="0"/>
    <d v="2025-04-30T00:00:00"/>
    <x v="17"/>
  </r>
  <r>
    <n v="20250430"/>
    <x v="4"/>
    <x v="4"/>
    <n v="2"/>
    <n v="1"/>
    <n v="0"/>
    <n v="0"/>
    <d v="2025-04-30T00:00:00"/>
    <x v="17"/>
  </r>
  <r>
    <n v="20250430"/>
    <x v="0"/>
    <x v="13"/>
    <n v="2"/>
    <n v="1"/>
    <n v="0"/>
    <n v="0"/>
    <d v="2025-04-30T00:00:00"/>
    <x v="17"/>
  </r>
  <r>
    <n v="20250430"/>
    <x v="2"/>
    <x v="3"/>
    <n v="1"/>
    <n v="33"/>
    <n v="0"/>
    <n v="0"/>
    <d v="2025-04-30T00:00:00"/>
    <x v="17"/>
  </r>
  <r>
    <n v="20250430"/>
    <x v="3"/>
    <x v="4"/>
    <n v="1"/>
    <n v="2"/>
    <n v="0"/>
    <n v="0"/>
    <d v="2025-04-30T00:00:00"/>
    <x v="17"/>
  </r>
  <r>
    <n v="20250501"/>
    <x v="5"/>
    <x v="3"/>
    <n v="1"/>
    <n v="18"/>
    <n v="0"/>
    <n v="0"/>
    <d v="2025-05-01T00:00:00"/>
    <x v="17"/>
  </r>
  <r>
    <n v="20250501"/>
    <x v="2"/>
    <x v="3"/>
    <n v="1"/>
    <n v="33"/>
    <n v="0"/>
    <n v="0"/>
    <d v="2025-05-01T00:00:00"/>
    <x v="17"/>
  </r>
  <r>
    <n v="20250501"/>
    <x v="2"/>
    <x v="8"/>
    <n v="1"/>
    <n v="24"/>
    <n v="0"/>
    <n v="0"/>
    <d v="2025-05-01T00:00:00"/>
    <x v="17"/>
  </r>
  <r>
    <n v="20250501"/>
    <x v="1"/>
    <x v="3"/>
    <n v="1"/>
    <n v="25"/>
    <n v="0"/>
    <n v="0"/>
    <d v="2025-05-01T00:00:00"/>
    <x v="17"/>
  </r>
  <r>
    <n v="20250501"/>
    <x v="3"/>
    <x v="5"/>
    <n v="1"/>
    <n v="45"/>
    <n v="0"/>
    <n v="0"/>
    <d v="2025-05-01T00:00:00"/>
    <x v="17"/>
  </r>
  <r>
    <n v="20250502"/>
    <x v="2"/>
    <x v="3"/>
    <n v="3"/>
    <n v="14.6666666666666"/>
    <n v="0"/>
    <n v="0"/>
    <d v="2025-05-02T00:00:00"/>
    <x v="17"/>
  </r>
  <r>
    <n v="20250502"/>
    <x v="5"/>
    <x v="4"/>
    <n v="3"/>
    <n v="1"/>
    <n v="0"/>
    <n v="0"/>
    <d v="2025-05-02T00:00:00"/>
    <x v="17"/>
  </r>
  <r>
    <n v="20250502"/>
    <x v="3"/>
    <x v="5"/>
    <n v="2"/>
    <n v="48.5"/>
    <n v="0"/>
    <n v="0"/>
    <d v="2025-05-02T00:00:00"/>
    <x v="17"/>
  </r>
  <r>
    <n v="20250503"/>
    <x v="3"/>
    <x v="5"/>
    <n v="2"/>
    <n v="2"/>
    <n v="0"/>
    <n v="0"/>
    <d v="2025-05-03T00:00:00"/>
    <x v="17"/>
  </r>
  <r>
    <n v="20250503"/>
    <x v="0"/>
    <x v="5"/>
    <n v="1"/>
    <n v="2"/>
    <n v="0"/>
    <n v="0"/>
    <d v="2025-05-03T00:00:00"/>
    <x v="17"/>
  </r>
  <r>
    <n v="20250503"/>
    <x v="4"/>
    <x v="5"/>
    <n v="1"/>
    <n v="78"/>
    <n v="0"/>
    <n v="0"/>
    <d v="2025-05-03T00:00:00"/>
    <x v="17"/>
  </r>
  <r>
    <n v="20250504"/>
    <x v="1"/>
    <x v="3"/>
    <n v="3"/>
    <n v="36"/>
    <n v="0"/>
    <n v="0"/>
    <d v="2025-05-04T00:00:00"/>
    <x v="18"/>
  </r>
  <r>
    <n v="20250504"/>
    <x v="2"/>
    <x v="3"/>
    <n v="2"/>
    <n v="24"/>
    <n v="0"/>
    <n v="4"/>
    <d v="2025-05-04T00:00:00"/>
    <x v="18"/>
  </r>
  <r>
    <n v="20250504"/>
    <x v="0"/>
    <x v="7"/>
    <n v="1"/>
    <n v="1"/>
    <n v="0"/>
    <n v="0"/>
    <d v="2025-05-04T00:00:00"/>
    <x v="18"/>
  </r>
  <r>
    <n v="20250505"/>
    <x v="2"/>
    <x v="3"/>
    <n v="3"/>
    <n v="22.3333333333333"/>
    <n v="0"/>
    <n v="0"/>
    <d v="2025-05-05T00:00:00"/>
    <x v="18"/>
  </r>
  <r>
    <n v="20250505"/>
    <x v="0"/>
    <x v="1"/>
    <n v="2"/>
    <n v="41.5"/>
    <n v="0"/>
    <n v="0"/>
    <d v="2025-05-05T00:00:00"/>
    <x v="18"/>
  </r>
  <r>
    <n v="20250505"/>
    <x v="0"/>
    <x v="3"/>
    <n v="1"/>
    <n v="7"/>
    <n v="0"/>
    <n v="0"/>
    <d v="2025-05-05T00:00:00"/>
    <x v="18"/>
  </r>
  <r>
    <n v="20250506"/>
    <x v="2"/>
    <x v="8"/>
    <n v="1"/>
    <n v="33"/>
    <n v="0"/>
    <n v="0"/>
    <d v="2025-05-06T00:00:00"/>
    <x v="18"/>
  </r>
  <r>
    <n v="20250506"/>
    <x v="3"/>
    <x v="6"/>
    <n v="1"/>
    <n v="1"/>
    <n v="0"/>
    <n v="0"/>
    <d v="2025-05-06T00:00:00"/>
    <x v="18"/>
  </r>
  <r>
    <n v="20250506"/>
    <x v="0"/>
    <x v="7"/>
    <n v="1"/>
    <n v="15"/>
    <n v="0"/>
    <n v="0"/>
    <d v="2025-05-06T00:00:00"/>
    <x v="18"/>
  </r>
  <r>
    <n v="20250507"/>
    <x v="1"/>
    <x v="3"/>
    <n v="3"/>
    <n v="18"/>
    <n v="0"/>
    <n v="0"/>
    <d v="2025-05-07T00:00:00"/>
    <x v="18"/>
  </r>
  <r>
    <n v="20250507"/>
    <x v="3"/>
    <x v="3"/>
    <n v="2"/>
    <n v="1"/>
    <n v="0"/>
    <n v="0"/>
    <d v="2025-05-07T00:00:00"/>
    <x v="18"/>
  </r>
  <r>
    <n v="20250507"/>
    <x v="5"/>
    <x v="3"/>
    <n v="1"/>
    <n v="1"/>
    <n v="0"/>
    <n v="0"/>
    <d v="2025-05-07T00:00:00"/>
    <x v="18"/>
  </r>
  <r>
    <n v="20250508"/>
    <x v="2"/>
    <x v="3"/>
    <n v="5"/>
    <n v="4"/>
    <n v="0"/>
    <n v="0"/>
    <d v="2025-05-08T00:00:00"/>
    <x v="18"/>
  </r>
  <r>
    <n v="20250508"/>
    <x v="1"/>
    <x v="3"/>
    <n v="2"/>
    <n v="28"/>
    <n v="0"/>
    <n v="0"/>
    <d v="2025-05-08T00:00:00"/>
    <x v="18"/>
  </r>
  <r>
    <n v="20250508"/>
    <x v="0"/>
    <x v="3"/>
    <n v="1"/>
    <n v="28"/>
    <n v="0"/>
    <n v="0"/>
    <d v="2025-05-08T00:00:00"/>
    <x v="18"/>
  </r>
  <r>
    <n v="20250508"/>
    <x v="3"/>
    <x v="3"/>
    <n v="1"/>
    <n v="79"/>
    <n v="0"/>
    <n v="0"/>
    <d v="2025-05-08T00:00:00"/>
    <x v="18"/>
  </r>
  <r>
    <n v="20250509"/>
    <x v="1"/>
    <x v="3"/>
    <n v="5"/>
    <n v="13.4"/>
    <n v="0"/>
    <n v="0"/>
    <d v="2025-05-09T00:00:00"/>
    <x v="18"/>
  </r>
  <r>
    <n v="20250509"/>
    <x v="0"/>
    <x v="3"/>
    <n v="1"/>
    <n v="14"/>
    <n v="0"/>
    <n v="0"/>
    <d v="2025-05-09T00:00:00"/>
    <x v="18"/>
  </r>
  <r>
    <n v="20250510"/>
    <x v="2"/>
    <x v="3"/>
    <n v="9"/>
    <n v="21"/>
    <n v="0"/>
    <n v="0"/>
    <d v="2025-05-10T00:00:00"/>
    <x v="18"/>
  </r>
  <r>
    <n v="20250510"/>
    <x v="0"/>
    <x v="3"/>
    <n v="8"/>
    <n v="31.75"/>
    <n v="0"/>
    <n v="0"/>
    <d v="2025-05-10T00:00:00"/>
    <x v="18"/>
  </r>
  <r>
    <n v="20250510"/>
    <x v="3"/>
    <x v="3"/>
    <n v="3"/>
    <n v="48.6666666666666"/>
    <n v="0"/>
    <n v="0"/>
    <d v="2025-05-10T00:00:00"/>
    <x v="18"/>
  </r>
  <r>
    <n v="20250510"/>
    <x v="5"/>
    <x v="3"/>
    <n v="1"/>
    <n v="38"/>
    <n v="0"/>
    <n v="0"/>
    <d v="2025-05-10T00:00:00"/>
    <x v="18"/>
  </r>
  <r>
    <n v="20250511"/>
    <x v="2"/>
    <x v="3"/>
    <n v="13"/>
    <n v="10.769230769230701"/>
    <n v="1"/>
    <n v="4"/>
    <d v="2025-05-11T00:00:00"/>
    <x v="19"/>
  </r>
  <r>
    <n v="20250511"/>
    <x v="0"/>
    <x v="3"/>
    <n v="5"/>
    <n v="31.6"/>
    <n v="0"/>
    <n v="0"/>
    <d v="2025-05-11T00:00:00"/>
    <x v="19"/>
  </r>
  <r>
    <n v="20250511"/>
    <x v="7"/>
    <x v="11"/>
    <n v="3"/>
    <n v="36"/>
    <n v="0"/>
    <n v="0"/>
    <d v="2025-05-11T00:00:00"/>
    <x v="19"/>
  </r>
  <r>
    <n v="20250511"/>
    <x v="3"/>
    <x v="3"/>
    <n v="2"/>
    <n v="48"/>
    <n v="0"/>
    <n v="0"/>
    <d v="2025-05-11T00:00:00"/>
    <x v="19"/>
  </r>
  <r>
    <n v="20250512"/>
    <x v="2"/>
    <x v="3"/>
    <n v="23"/>
    <n v="43.652173913043399"/>
    <n v="0"/>
    <n v="1"/>
    <d v="2025-05-12T00:00:00"/>
    <x v="19"/>
  </r>
  <r>
    <n v="20250512"/>
    <x v="1"/>
    <x v="3"/>
    <n v="1"/>
    <n v="2"/>
    <n v="0"/>
    <n v="0"/>
    <d v="2025-05-12T00:00:00"/>
    <x v="19"/>
  </r>
  <r>
    <n v="20250513"/>
    <x v="2"/>
    <x v="3"/>
    <n v="15"/>
    <n v="36.4"/>
    <n v="0"/>
    <n v="0"/>
    <d v="2025-05-13T00:00:00"/>
    <x v="19"/>
  </r>
  <r>
    <n v="20250513"/>
    <x v="0"/>
    <x v="3"/>
    <n v="8"/>
    <n v="40.625"/>
    <n v="0"/>
    <n v="0"/>
    <d v="2025-05-13T00:00:00"/>
    <x v="19"/>
  </r>
  <r>
    <n v="20250513"/>
    <x v="1"/>
    <x v="3"/>
    <n v="4"/>
    <n v="32.75"/>
    <n v="0"/>
    <n v="0"/>
    <d v="2025-05-13T00:00:00"/>
    <x v="19"/>
  </r>
  <r>
    <n v="20250513"/>
    <x v="5"/>
    <x v="3"/>
    <n v="3"/>
    <n v="22.6666666666666"/>
    <n v="0"/>
    <n v="0"/>
    <d v="2025-05-13T00:00:00"/>
    <x v="19"/>
  </r>
  <r>
    <n v="20250513"/>
    <x v="4"/>
    <x v="3"/>
    <n v="2"/>
    <n v="9.5"/>
    <n v="0"/>
    <n v="0"/>
    <d v="2025-05-13T00:00:00"/>
    <x v="19"/>
  </r>
  <r>
    <n v="20250513"/>
    <x v="3"/>
    <x v="3"/>
    <n v="1"/>
    <n v="48"/>
    <n v="0"/>
    <n v="0"/>
    <d v="2025-05-13T00:00:00"/>
    <x v="19"/>
  </r>
  <r>
    <n v="20250514"/>
    <x v="2"/>
    <x v="3"/>
    <n v="21"/>
    <n v="65.142857142857096"/>
    <n v="0"/>
    <n v="0"/>
    <d v="2025-05-14T00:00:00"/>
    <x v="19"/>
  </r>
  <r>
    <n v="20250514"/>
    <x v="0"/>
    <x v="3"/>
    <n v="5"/>
    <n v="21.8"/>
    <n v="0"/>
    <n v="0"/>
    <d v="2025-05-14T00:00:00"/>
    <x v="19"/>
  </r>
  <r>
    <n v="20250514"/>
    <x v="1"/>
    <x v="3"/>
    <n v="1"/>
    <n v="31"/>
    <n v="0"/>
    <n v="0"/>
    <d v="2025-05-14T00:00:00"/>
    <x v="19"/>
  </r>
  <r>
    <n v="20250514"/>
    <x v="2"/>
    <x v="8"/>
    <n v="1"/>
    <n v="79"/>
    <n v="0"/>
    <n v="0"/>
    <d v="2025-05-14T00:00:00"/>
    <x v="19"/>
  </r>
  <r>
    <n v="20250514"/>
    <x v="5"/>
    <x v="3"/>
    <n v="1"/>
    <n v="63"/>
    <n v="0"/>
    <n v="0"/>
    <d v="2025-05-14T00:00:00"/>
    <x v="19"/>
  </r>
  <r>
    <n v="20250514"/>
    <x v="2"/>
    <x v="11"/>
    <n v="1"/>
    <n v="20"/>
    <n v="0"/>
    <n v="0"/>
    <d v="2025-05-14T00:00:00"/>
    <x v="19"/>
  </r>
  <r>
    <n v="20250515"/>
    <x v="2"/>
    <x v="3"/>
    <n v="22"/>
    <n v="56.909090909090899"/>
    <n v="0"/>
    <n v="0"/>
    <d v="2025-05-15T00:00:00"/>
    <x v="19"/>
  </r>
  <r>
    <n v="20250515"/>
    <x v="0"/>
    <x v="3"/>
    <n v="5"/>
    <n v="23"/>
    <n v="0"/>
    <n v="0"/>
    <d v="2025-05-15T00:00:00"/>
    <x v="19"/>
  </r>
  <r>
    <n v="20250515"/>
    <x v="5"/>
    <x v="3"/>
    <n v="1"/>
    <n v="12"/>
    <n v="0"/>
    <n v="0"/>
    <d v="2025-05-15T00:00:00"/>
    <x v="19"/>
  </r>
  <r>
    <n v="20250516"/>
    <x v="2"/>
    <x v="3"/>
    <n v="42"/>
    <n v="74.428571428571402"/>
    <n v="1"/>
    <n v="2"/>
    <d v="2025-05-16T00:00:00"/>
    <x v="19"/>
  </r>
  <r>
    <n v="20250516"/>
    <x v="3"/>
    <x v="5"/>
    <n v="5"/>
    <n v="1"/>
    <n v="0"/>
    <n v="1"/>
    <d v="2025-05-16T00:00:00"/>
    <x v="19"/>
  </r>
  <r>
    <n v="20250516"/>
    <x v="3"/>
    <x v="3"/>
    <n v="4"/>
    <n v="42"/>
    <n v="0"/>
    <n v="0"/>
    <d v="2025-05-16T00:00:00"/>
    <x v="19"/>
  </r>
  <r>
    <n v="20250516"/>
    <x v="0"/>
    <x v="3"/>
    <n v="3"/>
    <n v="27.6666666666666"/>
    <n v="0"/>
    <n v="0"/>
    <d v="2025-05-16T00:00:00"/>
    <x v="19"/>
  </r>
  <r>
    <n v="20250516"/>
    <x v="0"/>
    <x v="5"/>
    <n v="1"/>
    <n v="1"/>
    <n v="0"/>
    <n v="0"/>
    <d v="2025-05-16T00:00:00"/>
    <x v="19"/>
  </r>
  <r>
    <n v="20250516"/>
    <x v="0"/>
    <x v="14"/>
    <n v="1"/>
    <n v="72"/>
    <n v="0"/>
    <n v="0"/>
    <d v="2025-05-16T00:00:00"/>
    <x v="19"/>
  </r>
  <r>
    <n v="20250517"/>
    <x v="2"/>
    <x v="3"/>
    <n v="47"/>
    <n v="55.170212765957402"/>
    <n v="0"/>
    <n v="0"/>
    <d v="2025-05-17T00:00:00"/>
    <x v="19"/>
  </r>
  <r>
    <n v="20250517"/>
    <x v="0"/>
    <x v="3"/>
    <n v="11"/>
    <n v="29.272727272727199"/>
    <n v="0"/>
    <n v="0"/>
    <d v="2025-05-17T00:00:00"/>
    <x v="19"/>
  </r>
  <r>
    <n v="20250517"/>
    <x v="3"/>
    <x v="3"/>
    <n v="9"/>
    <n v="42.5555555555555"/>
    <n v="0"/>
    <n v="0"/>
    <d v="2025-05-17T00:00:00"/>
    <x v="19"/>
  </r>
  <r>
    <n v="20250517"/>
    <x v="3"/>
    <x v="5"/>
    <n v="1"/>
    <n v="84"/>
    <n v="0"/>
    <n v="0"/>
    <d v="2025-05-17T00:00:00"/>
    <x v="19"/>
  </r>
  <r>
    <n v="20250517"/>
    <x v="5"/>
    <x v="3"/>
    <n v="1"/>
    <n v="87"/>
    <n v="0"/>
    <n v="0"/>
    <d v="2025-05-17T00:00:00"/>
    <x v="19"/>
  </r>
  <r>
    <n v="20250517"/>
    <x v="1"/>
    <x v="3"/>
    <n v="1"/>
    <n v="30"/>
    <n v="0"/>
    <n v="0"/>
    <d v="2025-05-17T00:00:00"/>
    <x v="19"/>
  </r>
  <r>
    <n v="20250518"/>
    <x v="2"/>
    <x v="3"/>
    <n v="162"/>
    <n v="47.0061728395061"/>
    <n v="0"/>
    <n v="4"/>
    <d v="2025-05-18T00:00:00"/>
    <x v="20"/>
  </r>
  <r>
    <n v="20250518"/>
    <x v="0"/>
    <x v="3"/>
    <n v="9"/>
    <n v="33.7777777777777"/>
    <n v="0"/>
    <n v="0"/>
    <d v="2025-05-18T00:00:00"/>
    <x v="20"/>
  </r>
  <r>
    <n v="20250518"/>
    <x v="3"/>
    <x v="3"/>
    <n v="6"/>
    <n v="39.5"/>
    <n v="0"/>
    <n v="0"/>
    <d v="2025-05-18T00:00:00"/>
    <x v="20"/>
  </r>
  <r>
    <n v="20250518"/>
    <x v="1"/>
    <x v="3"/>
    <n v="1"/>
    <n v="29"/>
    <n v="0"/>
    <n v="0"/>
    <d v="2025-05-18T00:00:00"/>
    <x v="20"/>
  </r>
  <r>
    <n v="20250519"/>
    <x v="2"/>
    <x v="3"/>
    <n v="147"/>
    <n v="48.408163265306101"/>
    <n v="0"/>
    <n v="1"/>
    <d v="2025-05-19T00:00:00"/>
    <x v="20"/>
  </r>
  <r>
    <n v="20250519"/>
    <x v="3"/>
    <x v="3"/>
    <n v="2"/>
    <n v="44"/>
    <n v="0"/>
    <n v="0"/>
    <d v="2025-05-19T00:00:00"/>
    <x v="20"/>
  </r>
  <r>
    <n v="20250519"/>
    <x v="0"/>
    <x v="3"/>
    <n v="1"/>
    <n v="96"/>
    <n v="0"/>
    <n v="0"/>
    <d v="2025-05-19T00:00:00"/>
    <x v="20"/>
  </r>
  <r>
    <n v="20250519"/>
    <x v="0"/>
    <x v="10"/>
    <n v="1"/>
    <n v="93"/>
    <n v="0"/>
    <n v="0"/>
    <d v="2025-05-19T00:00:00"/>
    <x v="20"/>
  </r>
  <r>
    <n v="20250519"/>
    <x v="6"/>
    <x v="3"/>
    <n v="1"/>
    <n v="24"/>
    <n v="0"/>
    <n v="0"/>
    <d v="2025-05-19T00:00:00"/>
    <x v="20"/>
  </r>
  <r>
    <n v="20250520"/>
    <x v="2"/>
    <x v="3"/>
    <n v="89"/>
    <n v="57.213483146067396"/>
    <n v="0"/>
    <n v="0"/>
    <d v="2025-05-20T00:00:00"/>
    <x v="20"/>
  </r>
  <r>
    <n v="20250520"/>
    <x v="0"/>
    <x v="3"/>
    <n v="3"/>
    <n v="27.6666666666666"/>
    <n v="0"/>
    <n v="0"/>
    <d v="2025-05-20T00:00:00"/>
    <x v="20"/>
  </r>
  <r>
    <n v="20250520"/>
    <x v="3"/>
    <x v="3"/>
    <n v="2"/>
    <n v="48"/>
    <n v="0"/>
    <n v="0"/>
    <d v="2025-05-20T00:00:00"/>
    <x v="20"/>
  </r>
  <r>
    <n v="20250520"/>
    <x v="4"/>
    <x v="3"/>
    <n v="2"/>
    <n v="23.5"/>
    <n v="0"/>
    <n v="0"/>
    <d v="2025-05-20T00:00:00"/>
    <x v="20"/>
  </r>
  <r>
    <n v="20250521"/>
    <x v="2"/>
    <x v="3"/>
    <n v="57"/>
    <n v="49.684210526315702"/>
    <n v="0"/>
    <n v="0"/>
    <d v="2025-05-21T00:00:00"/>
    <x v="20"/>
  </r>
  <r>
    <n v="20250521"/>
    <x v="3"/>
    <x v="3"/>
    <n v="7"/>
    <n v="23.714285714285701"/>
    <n v="0"/>
    <n v="0"/>
    <d v="2025-05-21T00:00:00"/>
    <x v="20"/>
  </r>
  <r>
    <n v="20250521"/>
    <x v="3"/>
    <x v="5"/>
    <n v="2"/>
    <n v="1"/>
    <n v="0"/>
    <n v="0"/>
    <d v="2025-05-21T00:00:00"/>
    <x v="20"/>
  </r>
  <r>
    <n v="20250522"/>
    <x v="0"/>
    <x v="3"/>
    <n v="4"/>
    <n v="22"/>
    <n v="0"/>
    <n v="0"/>
    <d v="2025-05-22T00:00:00"/>
    <x v="20"/>
  </r>
  <r>
    <n v="20250522"/>
    <x v="2"/>
    <x v="3"/>
    <n v="3"/>
    <n v="32.6666666666666"/>
    <n v="0"/>
    <n v="0"/>
    <d v="2025-05-22T00:00:00"/>
    <x v="20"/>
  </r>
  <r>
    <n v="20250522"/>
    <x v="4"/>
    <x v="2"/>
    <n v="1"/>
    <n v="25"/>
    <n v="0"/>
    <n v="0"/>
    <d v="2025-05-22T00:00:00"/>
    <x v="20"/>
  </r>
  <r>
    <n v="20250522"/>
    <x v="9"/>
    <x v="3"/>
    <n v="1"/>
    <n v="36"/>
    <n v="0"/>
    <n v="0"/>
    <d v="2025-05-22T00:00:00"/>
    <x v="20"/>
  </r>
  <r>
    <n v="20250522"/>
    <x v="2"/>
    <x v="2"/>
    <n v="1"/>
    <n v="1"/>
    <n v="0"/>
    <n v="0"/>
    <d v="2025-05-22T00:00:00"/>
    <x v="20"/>
  </r>
  <r>
    <n v="20250523"/>
    <x v="2"/>
    <x v="3"/>
    <n v="8"/>
    <n v="10.375"/>
    <n v="0"/>
    <n v="2"/>
    <d v="2025-05-23T00:00:00"/>
    <x v="20"/>
  </r>
  <r>
    <n v="20250523"/>
    <x v="0"/>
    <x v="3"/>
    <n v="3"/>
    <n v="32.3333333333333"/>
    <n v="0"/>
    <n v="0"/>
    <d v="2025-05-23T00:00:00"/>
    <x v="20"/>
  </r>
  <r>
    <n v="20250523"/>
    <x v="3"/>
    <x v="4"/>
    <n v="1"/>
    <n v="1"/>
    <n v="0"/>
    <n v="0"/>
    <d v="2025-05-23T00:00:00"/>
    <x v="20"/>
  </r>
  <r>
    <n v="20250523"/>
    <x v="1"/>
    <x v="3"/>
    <n v="1"/>
    <n v="9"/>
    <n v="0"/>
    <n v="0"/>
    <d v="2025-05-23T00:00:00"/>
    <x v="20"/>
  </r>
  <r>
    <n v="20250523"/>
    <x v="6"/>
    <x v="3"/>
    <n v="1"/>
    <n v="22"/>
    <n v="0"/>
    <n v="0"/>
    <d v="2025-05-23T00:00:00"/>
    <x v="20"/>
  </r>
  <r>
    <n v="20250523"/>
    <x v="1"/>
    <x v="1"/>
    <n v="1"/>
    <n v="34"/>
    <n v="0"/>
    <n v="0"/>
    <d v="2025-05-23T00:00:00"/>
    <x v="20"/>
  </r>
  <r>
    <n v="20250523"/>
    <x v="3"/>
    <x v="3"/>
    <n v="1"/>
    <n v="40"/>
    <n v="0"/>
    <n v="0"/>
    <d v="2025-05-23T00:00:00"/>
    <x v="20"/>
  </r>
  <r>
    <n v="20250524"/>
    <x v="2"/>
    <x v="3"/>
    <n v="16"/>
    <n v="11.9375"/>
    <n v="0"/>
    <n v="0"/>
    <d v="2025-05-24T00:00:00"/>
    <x v="20"/>
  </r>
  <r>
    <n v="20250524"/>
    <x v="3"/>
    <x v="4"/>
    <n v="6"/>
    <n v="1"/>
    <n v="0"/>
    <n v="0"/>
    <d v="2025-05-24T00:00:00"/>
    <x v="20"/>
  </r>
  <r>
    <n v="20250524"/>
    <x v="0"/>
    <x v="3"/>
    <n v="3"/>
    <n v="32.6666666666666"/>
    <n v="0"/>
    <n v="0"/>
    <d v="2025-05-24T00:00:00"/>
    <x v="20"/>
  </r>
  <r>
    <n v="20250524"/>
    <x v="9"/>
    <x v="3"/>
    <n v="1"/>
    <n v="36"/>
    <n v="0"/>
    <n v="0"/>
    <d v="2025-05-24T00:00:00"/>
    <x v="20"/>
  </r>
  <r>
    <n v="20250524"/>
    <x v="3"/>
    <x v="3"/>
    <n v="1"/>
    <n v="27"/>
    <n v="0"/>
    <n v="0"/>
    <d v="2025-05-24T00:00:00"/>
    <x v="20"/>
  </r>
  <r>
    <n v="20250525"/>
    <x v="2"/>
    <x v="3"/>
    <n v="9"/>
    <n v="8.8888888888888893"/>
    <n v="0"/>
    <n v="0"/>
    <d v="2025-05-25T00:00:00"/>
    <x v="21"/>
  </r>
  <r>
    <n v="20250525"/>
    <x v="3"/>
    <x v="5"/>
    <n v="7"/>
    <n v="2"/>
    <n v="0"/>
    <n v="0"/>
    <d v="2025-05-25T00:00:00"/>
    <x v="21"/>
  </r>
  <r>
    <n v="20250525"/>
    <x v="0"/>
    <x v="6"/>
    <n v="3"/>
    <n v="1"/>
    <n v="0"/>
    <n v="0"/>
    <d v="2025-05-25T00:00:00"/>
    <x v="21"/>
  </r>
  <r>
    <n v="20250525"/>
    <x v="3"/>
    <x v="3"/>
    <n v="2"/>
    <n v="19"/>
    <n v="0"/>
    <n v="0"/>
    <d v="2025-05-25T00:00:00"/>
    <x v="21"/>
  </r>
  <r>
    <n v="20250525"/>
    <x v="0"/>
    <x v="3"/>
    <n v="1"/>
    <n v="40"/>
    <n v="0"/>
    <n v="0"/>
    <d v="2025-05-25T00:00:00"/>
    <x v="21"/>
  </r>
  <r>
    <n v="20250525"/>
    <x v="4"/>
    <x v="3"/>
    <n v="1"/>
    <n v="1"/>
    <n v="1"/>
    <n v="1"/>
    <d v="2025-05-25T00:00:00"/>
    <x v="21"/>
  </r>
  <r>
    <n v="20250526"/>
    <x v="2"/>
    <x v="3"/>
    <n v="20"/>
    <n v="9.5"/>
    <n v="0"/>
    <n v="0"/>
    <d v="2025-05-26T00:00:00"/>
    <x v="21"/>
  </r>
  <r>
    <n v="20250526"/>
    <x v="3"/>
    <x v="5"/>
    <n v="7"/>
    <n v="1"/>
    <n v="0"/>
    <n v="0"/>
    <d v="2025-05-26T00:00:00"/>
    <x v="21"/>
  </r>
  <r>
    <n v="20250526"/>
    <x v="1"/>
    <x v="3"/>
    <n v="3"/>
    <n v="8"/>
    <n v="0"/>
    <n v="0"/>
    <d v="2025-05-26T00:00:00"/>
    <x v="21"/>
  </r>
  <r>
    <n v="20250526"/>
    <x v="0"/>
    <x v="3"/>
    <n v="1"/>
    <n v="25"/>
    <n v="0"/>
    <n v="0"/>
    <d v="2025-05-26T00:00:00"/>
    <x v="21"/>
  </r>
  <r>
    <n v="20250526"/>
    <x v="3"/>
    <x v="3"/>
    <n v="1"/>
    <n v="40"/>
    <n v="0"/>
    <n v="0"/>
    <d v="2025-05-26T00:00:00"/>
    <x v="21"/>
  </r>
  <r>
    <n v="20250527"/>
    <x v="2"/>
    <x v="3"/>
    <n v="22"/>
    <n v="9.1818181818181799"/>
    <n v="0"/>
    <n v="0"/>
    <d v="2025-05-27T00:00:00"/>
    <x v="21"/>
  </r>
  <r>
    <n v="20250527"/>
    <x v="4"/>
    <x v="3"/>
    <n v="9"/>
    <n v="44.6666666666666"/>
    <n v="0"/>
    <n v="0"/>
    <d v="2025-05-27T00:00:00"/>
    <x v="21"/>
  </r>
  <r>
    <n v="20250527"/>
    <x v="6"/>
    <x v="3"/>
    <n v="7"/>
    <n v="1"/>
    <n v="0"/>
    <n v="0"/>
    <d v="2025-05-27T00:00:00"/>
    <x v="21"/>
  </r>
  <r>
    <n v="20250527"/>
    <x v="0"/>
    <x v="3"/>
    <n v="3"/>
    <n v="12.6666666666666"/>
    <n v="0"/>
    <n v="0"/>
    <d v="2025-05-27T00:00:00"/>
    <x v="21"/>
  </r>
  <r>
    <n v="20250527"/>
    <x v="3"/>
    <x v="3"/>
    <n v="1"/>
    <n v="2"/>
    <n v="1"/>
    <n v="2"/>
    <d v="2025-05-27T00:00:00"/>
    <x v="21"/>
  </r>
  <r>
    <n v="20250528"/>
    <x v="2"/>
    <x v="3"/>
    <n v="10"/>
    <n v="22.7"/>
    <n v="0"/>
    <n v="0"/>
    <d v="2025-05-28T00:00:00"/>
    <x v="21"/>
  </r>
  <r>
    <n v="20250528"/>
    <x v="3"/>
    <x v="3"/>
    <n v="10"/>
    <n v="21"/>
    <n v="0"/>
    <n v="4"/>
    <d v="2025-05-28T00:00:00"/>
    <x v="21"/>
  </r>
  <r>
    <n v="20250528"/>
    <x v="0"/>
    <x v="3"/>
    <n v="3"/>
    <n v="29"/>
    <n v="0"/>
    <n v="2"/>
    <d v="2025-05-28T00:00:00"/>
    <x v="21"/>
  </r>
  <r>
    <n v="20250528"/>
    <x v="4"/>
    <x v="3"/>
    <n v="1"/>
    <n v="75"/>
    <n v="0"/>
    <n v="0"/>
    <d v="2025-05-28T00:00:00"/>
    <x v="21"/>
  </r>
  <r>
    <n v="20250528"/>
    <x v="1"/>
    <x v="3"/>
    <n v="1"/>
    <n v="36"/>
    <n v="0"/>
    <n v="0"/>
    <d v="2025-05-28T00:00:00"/>
    <x v="21"/>
  </r>
  <r>
    <n v="20250528"/>
    <x v="7"/>
    <x v="5"/>
    <n v="1"/>
    <n v="1"/>
    <n v="0"/>
    <n v="0"/>
    <d v="2025-05-28T00:00:00"/>
    <x v="21"/>
  </r>
  <r>
    <n v="20250529"/>
    <x v="3"/>
    <x v="3"/>
    <n v="15"/>
    <n v="9.2666666666666604"/>
    <n v="0"/>
    <n v="0"/>
    <d v="2025-05-29T00:00:00"/>
    <x v="21"/>
  </r>
  <r>
    <n v="20250529"/>
    <x v="2"/>
    <x v="3"/>
    <n v="9"/>
    <n v="12.6666666666666"/>
    <n v="0"/>
    <n v="0"/>
    <d v="2025-05-29T00:00:00"/>
    <x v="21"/>
  </r>
  <r>
    <n v="20250529"/>
    <x v="0"/>
    <x v="3"/>
    <n v="4"/>
    <n v="21.5"/>
    <n v="0"/>
    <n v="0"/>
    <d v="2025-05-29T00:00:00"/>
    <x v="21"/>
  </r>
  <r>
    <n v="20250529"/>
    <x v="3"/>
    <x v="9"/>
    <n v="1"/>
    <n v="10"/>
    <n v="0"/>
    <n v="0"/>
    <d v="2025-05-29T00:00:00"/>
    <x v="21"/>
  </r>
  <r>
    <n v="20250530"/>
    <x v="3"/>
    <x v="3"/>
    <n v="9"/>
    <n v="20.1111111111111"/>
    <n v="0"/>
    <n v="0"/>
    <d v="2025-05-30T00:00:00"/>
    <x v="21"/>
  </r>
  <r>
    <n v="20250530"/>
    <x v="0"/>
    <x v="3"/>
    <n v="6"/>
    <n v="25.1666666666666"/>
    <n v="0"/>
    <n v="0"/>
    <d v="2025-05-30T00:00:00"/>
    <x v="21"/>
  </r>
  <r>
    <n v="20250530"/>
    <x v="2"/>
    <x v="3"/>
    <n v="5"/>
    <n v="10"/>
    <n v="0"/>
    <n v="0"/>
    <d v="2025-05-30T00:00:00"/>
    <x v="21"/>
  </r>
  <r>
    <n v="20250531"/>
    <x v="3"/>
    <x v="3"/>
    <n v="19"/>
    <n v="9.6842105263157894"/>
    <n v="0"/>
    <n v="0"/>
    <d v="2025-05-31T00:00:00"/>
    <x v="21"/>
  </r>
  <r>
    <n v="20250531"/>
    <x v="2"/>
    <x v="3"/>
    <n v="10"/>
    <n v="14.9"/>
    <n v="0"/>
    <n v="0"/>
    <d v="2025-05-31T00:00:00"/>
    <x v="21"/>
  </r>
  <r>
    <n v="20250531"/>
    <x v="7"/>
    <x v="4"/>
    <n v="3"/>
    <n v="35.3333333333333"/>
    <n v="0"/>
    <n v="0"/>
    <d v="2025-05-31T00:00:00"/>
    <x v="21"/>
  </r>
  <r>
    <n v="20250531"/>
    <x v="4"/>
    <x v="3"/>
    <n v="3"/>
    <n v="46.6666666666666"/>
    <n v="0"/>
    <n v="0"/>
    <d v="2025-05-31T00:00:00"/>
    <x v="21"/>
  </r>
  <r>
    <n v="20250531"/>
    <x v="0"/>
    <x v="3"/>
    <n v="3"/>
    <n v="24.6666666666666"/>
    <n v="0"/>
    <n v="0"/>
    <d v="2025-05-31T00:00:00"/>
    <x v="21"/>
  </r>
  <r>
    <n v="20250531"/>
    <x v="3"/>
    <x v="7"/>
    <n v="1"/>
    <n v="38"/>
    <n v="0"/>
    <n v="0"/>
    <d v="2025-05-31T00:00:00"/>
    <x v="21"/>
  </r>
  <r>
    <n v="20250531"/>
    <x v="0"/>
    <x v="13"/>
    <n v="1"/>
    <n v="1"/>
    <n v="1"/>
    <n v="10"/>
    <d v="2025-05-31T00:00:00"/>
    <x v="21"/>
  </r>
  <r>
    <n v="20250531"/>
    <x v="7"/>
    <x v="3"/>
    <n v="1"/>
    <n v="1"/>
    <n v="0"/>
    <n v="0"/>
    <d v="2025-05-31T00:00:00"/>
    <x v="21"/>
  </r>
  <r>
    <n v="20250601"/>
    <x v="3"/>
    <x v="3"/>
    <n v="10"/>
    <n v="6.9"/>
    <n v="0"/>
    <n v="0"/>
    <d v="2025-06-01T00:00:00"/>
    <x v="22"/>
  </r>
  <r>
    <n v="20250601"/>
    <x v="0"/>
    <x v="3"/>
    <n v="8"/>
    <n v="17.5"/>
    <n v="0"/>
    <n v="0"/>
    <d v="2025-06-01T00:00:00"/>
    <x v="22"/>
  </r>
  <r>
    <n v="20250601"/>
    <x v="0"/>
    <x v="13"/>
    <n v="7"/>
    <n v="83.142857142857096"/>
    <n v="0"/>
    <n v="0"/>
    <d v="2025-06-01T00:00:00"/>
    <x v="22"/>
  </r>
  <r>
    <n v="20250601"/>
    <x v="2"/>
    <x v="3"/>
    <n v="4"/>
    <n v="11.25"/>
    <n v="0"/>
    <n v="0"/>
    <d v="2025-06-01T00:00:00"/>
    <x v="22"/>
  </r>
  <r>
    <n v="20250601"/>
    <x v="4"/>
    <x v="3"/>
    <n v="1"/>
    <n v="65"/>
    <n v="0"/>
    <n v="0"/>
    <d v="2025-06-01T00:00:00"/>
    <x v="22"/>
  </r>
  <r>
    <n v="20250601"/>
    <x v="2"/>
    <x v="1"/>
    <n v="1"/>
    <n v="38"/>
    <n v="0"/>
    <n v="0"/>
    <d v="2025-06-01T00:00:00"/>
    <x v="22"/>
  </r>
  <r>
    <n v="20250601"/>
    <x v="6"/>
    <x v="3"/>
    <n v="1"/>
    <n v="26"/>
    <n v="0"/>
    <n v="0"/>
    <d v="2025-06-01T00:00:00"/>
    <x v="22"/>
  </r>
  <r>
    <n v="20250601"/>
    <x v="1"/>
    <x v="3"/>
    <n v="1"/>
    <n v="29"/>
    <n v="0"/>
    <n v="0"/>
    <d v="2025-06-01T00:00:00"/>
    <x v="22"/>
  </r>
  <r>
    <n v="20250602"/>
    <x v="3"/>
    <x v="3"/>
    <n v="8"/>
    <n v="24"/>
    <n v="0"/>
    <n v="0"/>
    <d v="2025-06-02T00:00:00"/>
    <x v="22"/>
  </r>
  <r>
    <n v="20250602"/>
    <x v="2"/>
    <x v="3"/>
    <n v="8"/>
    <n v="23.375"/>
    <n v="0"/>
    <n v="0"/>
    <d v="2025-06-02T00:00:00"/>
    <x v="22"/>
  </r>
  <r>
    <n v="20250602"/>
    <x v="0"/>
    <x v="13"/>
    <n v="7"/>
    <n v="57.857142857142797"/>
    <n v="0"/>
    <n v="0"/>
    <d v="2025-06-02T00:00:00"/>
    <x v="22"/>
  </r>
  <r>
    <n v="20250602"/>
    <x v="0"/>
    <x v="3"/>
    <n v="6"/>
    <n v="27"/>
    <n v="0"/>
    <n v="0"/>
    <d v="2025-06-02T00:00:00"/>
    <x v="22"/>
  </r>
  <r>
    <n v="20250602"/>
    <x v="3"/>
    <x v="6"/>
    <n v="1"/>
    <n v="1"/>
    <n v="0"/>
    <n v="2"/>
    <d v="2025-06-02T00:00:00"/>
    <x v="22"/>
  </r>
  <r>
    <n v="20250602"/>
    <x v="1"/>
    <x v="3"/>
    <n v="1"/>
    <n v="1"/>
    <n v="0"/>
    <n v="0"/>
    <d v="2025-06-02T00:00:00"/>
    <x v="22"/>
  </r>
  <r>
    <n v="20250602"/>
    <x v="5"/>
    <x v="3"/>
    <n v="1"/>
    <n v="18"/>
    <n v="0"/>
    <n v="0"/>
    <d v="2025-06-02T00:00:00"/>
    <x v="22"/>
  </r>
  <r>
    <n v="20250603"/>
    <x v="3"/>
    <x v="3"/>
    <n v="32"/>
    <n v="20.25"/>
    <n v="0"/>
    <n v="0"/>
    <d v="2025-06-03T00:00:00"/>
    <x v="22"/>
  </r>
  <r>
    <n v="20250603"/>
    <x v="4"/>
    <x v="3"/>
    <n v="9"/>
    <n v="36.3333333333333"/>
    <n v="0"/>
    <n v="0"/>
    <d v="2025-06-03T00:00:00"/>
    <x v="22"/>
  </r>
  <r>
    <n v="20250603"/>
    <x v="0"/>
    <x v="13"/>
    <n v="7"/>
    <n v="57.142857142857103"/>
    <n v="0"/>
    <n v="0"/>
    <d v="2025-06-03T00:00:00"/>
    <x v="22"/>
  </r>
  <r>
    <n v="20250603"/>
    <x v="1"/>
    <x v="3"/>
    <n v="4"/>
    <n v="18.75"/>
    <n v="0"/>
    <n v="0"/>
    <d v="2025-06-03T00:00:00"/>
    <x v="22"/>
  </r>
  <r>
    <n v="20250603"/>
    <x v="2"/>
    <x v="3"/>
    <n v="4"/>
    <n v="9"/>
    <n v="0"/>
    <n v="0"/>
    <d v="2025-06-03T00:00:00"/>
    <x v="22"/>
  </r>
  <r>
    <n v="20250603"/>
    <x v="0"/>
    <x v="3"/>
    <n v="3"/>
    <n v="28"/>
    <n v="0"/>
    <n v="0"/>
    <d v="2025-06-03T00:00:00"/>
    <x v="22"/>
  </r>
  <r>
    <n v="20250603"/>
    <x v="3"/>
    <x v="7"/>
    <n v="1"/>
    <n v="64"/>
    <n v="0"/>
    <n v="0"/>
    <d v="2025-06-03T00:00:00"/>
    <x v="22"/>
  </r>
  <r>
    <n v="20250603"/>
    <x v="0"/>
    <x v="2"/>
    <n v="1"/>
    <n v="69"/>
    <n v="0"/>
    <n v="0"/>
    <d v="2025-06-03T00:00:00"/>
    <x v="22"/>
  </r>
  <r>
    <n v="20250604"/>
    <x v="3"/>
    <x v="3"/>
    <n v="28"/>
    <n v="21.25"/>
    <n v="0"/>
    <n v="0"/>
    <d v="2025-06-04T00:00:00"/>
    <x v="22"/>
  </r>
  <r>
    <n v="20250604"/>
    <x v="0"/>
    <x v="13"/>
    <n v="9"/>
    <n v="48.7777777777777"/>
    <n v="0"/>
    <n v="0"/>
    <d v="2025-06-04T00:00:00"/>
    <x v="22"/>
  </r>
  <r>
    <n v="20250604"/>
    <x v="4"/>
    <x v="3"/>
    <n v="7"/>
    <n v="35.714285714285701"/>
    <n v="0"/>
    <n v="0"/>
    <d v="2025-06-04T00:00:00"/>
    <x v="22"/>
  </r>
  <r>
    <n v="20250604"/>
    <x v="0"/>
    <x v="3"/>
    <n v="4"/>
    <n v="32"/>
    <n v="0"/>
    <n v="0"/>
    <d v="2025-06-04T00:00:00"/>
    <x v="22"/>
  </r>
  <r>
    <n v="20250604"/>
    <x v="2"/>
    <x v="3"/>
    <n v="3"/>
    <n v="9.3333333333333304"/>
    <n v="0"/>
    <n v="0"/>
    <d v="2025-06-04T00:00:00"/>
    <x v="22"/>
  </r>
  <r>
    <n v="20250605"/>
    <x v="3"/>
    <x v="3"/>
    <n v="14"/>
    <n v="23"/>
    <n v="0"/>
    <n v="0"/>
    <d v="2025-06-05T00:00:00"/>
    <x v="22"/>
  </r>
  <r>
    <n v="20250605"/>
    <x v="0"/>
    <x v="13"/>
    <n v="9"/>
    <n v="47.5555555555555"/>
    <n v="0"/>
    <n v="0"/>
    <d v="2025-06-05T00:00:00"/>
    <x v="22"/>
  </r>
  <r>
    <n v="20250605"/>
    <x v="2"/>
    <x v="5"/>
    <n v="8"/>
    <n v="1"/>
    <n v="0"/>
    <n v="0"/>
    <d v="2025-06-05T00:00:00"/>
    <x v="22"/>
  </r>
  <r>
    <n v="20250605"/>
    <x v="4"/>
    <x v="3"/>
    <n v="5"/>
    <n v="39.6"/>
    <n v="0"/>
    <n v="0"/>
    <d v="2025-06-05T00:00:00"/>
    <x v="22"/>
  </r>
  <r>
    <n v="20250605"/>
    <x v="2"/>
    <x v="3"/>
    <n v="4"/>
    <n v="22"/>
    <n v="0"/>
    <n v="0"/>
    <d v="2025-06-05T00:00:00"/>
    <x v="22"/>
  </r>
  <r>
    <n v="20250605"/>
    <x v="1"/>
    <x v="3"/>
    <n v="2"/>
    <n v="52"/>
    <n v="0"/>
    <n v="0"/>
    <d v="2025-06-05T00:00:00"/>
    <x v="22"/>
  </r>
  <r>
    <n v="20250605"/>
    <x v="1"/>
    <x v="5"/>
    <n v="2"/>
    <n v="1"/>
    <n v="0"/>
    <n v="0"/>
    <d v="2025-06-05T00:00:00"/>
    <x v="22"/>
  </r>
  <r>
    <n v="20250605"/>
    <x v="7"/>
    <x v="3"/>
    <n v="1"/>
    <n v="90"/>
    <n v="0"/>
    <n v="0"/>
    <d v="2025-06-05T00:00:00"/>
    <x v="22"/>
  </r>
  <r>
    <n v="20250605"/>
    <x v="0"/>
    <x v="3"/>
    <n v="1"/>
    <n v="33"/>
    <n v="0"/>
    <n v="0"/>
    <d v="2025-06-05T00:00:00"/>
    <x v="22"/>
  </r>
  <r>
    <n v="20250606"/>
    <x v="3"/>
    <x v="3"/>
    <n v="22"/>
    <n v="11.863636363636299"/>
    <n v="0"/>
    <n v="1"/>
    <d v="2025-06-06T00:00:00"/>
    <x v="22"/>
  </r>
  <r>
    <n v="20250606"/>
    <x v="2"/>
    <x v="3"/>
    <n v="17"/>
    <n v="10.058823529411701"/>
    <n v="0"/>
    <n v="0"/>
    <d v="2025-06-06T00:00:00"/>
    <x v="22"/>
  </r>
  <r>
    <n v="20250606"/>
    <x v="0"/>
    <x v="13"/>
    <n v="7"/>
    <n v="60.714285714285701"/>
    <n v="0"/>
    <n v="0"/>
    <d v="2025-06-06T00:00:00"/>
    <x v="22"/>
  </r>
  <r>
    <n v="20250606"/>
    <x v="4"/>
    <x v="3"/>
    <n v="4"/>
    <n v="38.25"/>
    <n v="0"/>
    <n v="0"/>
    <d v="2025-06-06T00:00:00"/>
    <x v="22"/>
  </r>
  <r>
    <n v="20250606"/>
    <x v="0"/>
    <x v="2"/>
    <n v="2"/>
    <n v="20"/>
    <n v="0"/>
    <n v="0"/>
    <d v="2025-06-06T00:00:00"/>
    <x v="22"/>
  </r>
  <r>
    <n v="20250606"/>
    <x v="7"/>
    <x v="8"/>
    <n v="1"/>
    <n v="52"/>
    <n v="0"/>
    <n v="0"/>
    <d v="2025-06-06T00:00:00"/>
    <x v="22"/>
  </r>
  <r>
    <n v="20250606"/>
    <x v="5"/>
    <x v="3"/>
    <n v="1"/>
    <n v="2"/>
    <n v="0"/>
    <n v="0"/>
    <d v="2025-06-06T00:00:00"/>
    <x v="22"/>
  </r>
  <r>
    <n v="20250606"/>
    <x v="0"/>
    <x v="3"/>
    <n v="1"/>
    <n v="1"/>
    <n v="0"/>
    <n v="0"/>
    <d v="2025-06-06T00:00:00"/>
    <x v="22"/>
  </r>
  <r>
    <n v="20250607"/>
    <x v="3"/>
    <x v="3"/>
    <n v="15"/>
    <n v="11.6666666666666"/>
    <n v="0"/>
    <n v="0"/>
    <d v="2025-06-07T00:00:00"/>
    <x v="22"/>
  </r>
  <r>
    <n v="20250607"/>
    <x v="0"/>
    <x v="13"/>
    <n v="11"/>
    <n v="57.636363636363598"/>
    <n v="0"/>
    <n v="0"/>
    <d v="2025-06-07T00:00:00"/>
    <x v="22"/>
  </r>
  <r>
    <n v="20250607"/>
    <x v="2"/>
    <x v="3"/>
    <n v="8"/>
    <n v="15"/>
    <n v="0"/>
    <n v="0"/>
    <d v="2025-06-07T00:00:00"/>
    <x v="22"/>
  </r>
  <r>
    <n v="20250607"/>
    <x v="1"/>
    <x v="3"/>
    <n v="4"/>
    <n v="75"/>
    <n v="0"/>
    <n v="0"/>
    <d v="2025-06-07T00:00:00"/>
    <x v="22"/>
  </r>
  <r>
    <n v="20250607"/>
    <x v="7"/>
    <x v="4"/>
    <n v="1"/>
    <n v="22"/>
    <n v="0"/>
    <n v="0"/>
    <d v="2025-06-07T00:00:00"/>
    <x v="22"/>
  </r>
  <r>
    <n v="20250607"/>
    <x v="6"/>
    <x v="3"/>
    <n v="1"/>
    <n v="20"/>
    <n v="0"/>
    <n v="0"/>
    <d v="2025-06-07T00:00:00"/>
    <x v="22"/>
  </r>
  <r>
    <n v="20250607"/>
    <x v="9"/>
    <x v="3"/>
    <n v="1"/>
    <n v="30"/>
    <n v="0"/>
    <n v="0"/>
    <d v="2025-06-07T00:00:00"/>
    <x v="22"/>
  </r>
  <r>
    <n v="20250607"/>
    <x v="5"/>
    <x v="3"/>
    <n v="1"/>
    <n v="2"/>
    <n v="0"/>
    <n v="0"/>
    <d v="2025-06-07T00:00:00"/>
    <x v="22"/>
  </r>
  <r>
    <n v="20250608"/>
    <x v="2"/>
    <x v="3"/>
    <n v="25"/>
    <n v="9.52"/>
    <n v="0"/>
    <n v="0"/>
    <d v="2025-06-08T00:00:00"/>
    <x v="23"/>
  </r>
  <r>
    <n v="20250608"/>
    <x v="3"/>
    <x v="3"/>
    <n v="22"/>
    <n v="13.409090909090899"/>
    <n v="0"/>
    <n v="0"/>
    <d v="2025-06-08T00:00:00"/>
    <x v="23"/>
  </r>
  <r>
    <n v="20250608"/>
    <x v="0"/>
    <x v="13"/>
    <n v="7"/>
    <n v="45.857142857142797"/>
    <n v="0"/>
    <n v="0"/>
    <d v="2025-06-08T00:00:00"/>
    <x v="23"/>
  </r>
  <r>
    <n v="20250608"/>
    <x v="4"/>
    <x v="3"/>
    <n v="6"/>
    <n v="26.5"/>
    <n v="0"/>
    <n v="0"/>
    <d v="2025-06-08T00:00:00"/>
    <x v="23"/>
  </r>
  <r>
    <n v="20250609"/>
    <x v="3"/>
    <x v="3"/>
    <n v="13"/>
    <n v="10.1538461538461"/>
    <n v="0"/>
    <n v="0"/>
    <d v="2025-06-09T00:00:00"/>
    <x v="23"/>
  </r>
  <r>
    <n v="20250609"/>
    <x v="2"/>
    <x v="3"/>
    <n v="10"/>
    <n v="10.1"/>
    <n v="0"/>
    <n v="0"/>
    <d v="2025-06-09T00:00:00"/>
    <x v="23"/>
  </r>
  <r>
    <n v="20250609"/>
    <x v="0"/>
    <x v="13"/>
    <n v="6"/>
    <n v="83.3333333333333"/>
    <n v="0"/>
    <n v="0"/>
    <d v="2025-06-09T00:00:00"/>
    <x v="23"/>
  </r>
  <r>
    <n v="20250609"/>
    <x v="4"/>
    <x v="3"/>
    <n v="4"/>
    <n v="30.5"/>
    <n v="0"/>
    <n v="0"/>
    <d v="2025-06-09T00:00:00"/>
    <x v="23"/>
  </r>
  <r>
    <n v="20250609"/>
    <x v="0"/>
    <x v="2"/>
    <n v="1"/>
    <n v="74"/>
    <n v="0"/>
    <n v="0"/>
    <d v="2025-06-09T00:00:00"/>
    <x v="23"/>
  </r>
  <r>
    <n v="20250609"/>
    <x v="2"/>
    <x v="5"/>
    <n v="1"/>
    <n v="1"/>
    <n v="0"/>
    <n v="0"/>
    <d v="2025-06-09T00:00:00"/>
    <x v="23"/>
  </r>
  <r>
    <n v="20250610"/>
    <x v="2"/>
    <x v="3"/>
    <n v="25"/>
    <n v="13.24"/>
    <n v="0"/>
    <n v="2"/>
    <d v="2025-06-10T00:00:00"/>
    <x v="23"/>
  </r>
  <r>
    <n v="20250610"/>
    <x v="3"/>
    <x v="3"/>
    <n v="11"/>
    <n v="16.181818181818102"/>
    <n v="0"/>
    <n v="0"/>
    <d v="2025-06-10T00:00:00"/>
    <x v="23"/>
  </r>
  <r>
    <n v="20250610"/>
    <x v="3"/>
    <x v="4"/>
    <n v="3"/>
    <n v="1"/>
    <n v="0"/>
    <n v="0"/>
    <d v="2025-06-10T00:00:00"/>
    <x v="23"/>
  </r>
  <r>
    <n v="20250610"/>
    <x v="0"/>
    <x v="13"/>
    <n v="3"/>
    <n v="76.6666666666666"/>
    <n v="0"/>
    <n v="0"/>
    <d v="2025-06-10T00:00:00"/>
    <x v="23"/>
  </r>
  <r>
    <n v="20250610"/>
    <x v="6"/>
    <x v="3"/>
    <n v="2"/>
    <n v="20"/>
    <n v="0"/>
    <n v="0"/>
    <d v="2025-06-10T00:00:00"/>
    <x v="23"/>
  </r>
  <r>
    <n v="20250610"/>
    <x v="2"/>
    <x v="8"/>
    <n v="2"/>
    <n v="17"/>
    <n v="0"/>
    <n v="0"/>
    <d v="2025-06-10T00:00:00"/>
    <x v="23"/>
  </r>
  <r>
    <n v="20250610"/>
    <x v="4"/>
    <x v="3"/>
    <n v="1"/>
    <n v="30"/>
    <n v="0"/>
    <n v="0"/>
    <d v="2025-06-10T00:00:00"/>
    <x v="23"/>
  </r>
  <r>
    <n v="20250610"/>
    <x v="0"/>
    <x v="12"/>
    <n v="1"/>
    <n v="28"/>
    <n v="0"/>
    <n v="0"/>
    <d v="2025-06-10T00:00:00"/>
    <x v="23"/>
  </r>
  <r>
    <n v="20250611"/>
    <x v="3"/>
    <x v="3"/>
    <n v="11"/>
    <n v="19.4545454545454"/>
    <n v="0"/>
    <n v="0"/>
    <d v="2025-06-11T00:00:00"/>
    <x v="23"/>
  </r>
  <r>
    <n v="20250611"/>
    <x v="2"/>
    <x v="3"/>
    <n v="4"/>
    <n v="9"/>
    <n v="0"/>
    <n v="0"/>
    <d v="2025-06-11T00:00:00"/>
    <x v="23"/>
  </r>
  <r>
    <n v="20250611"/>
    <x v="0"/>
    <x v="13"/>
    <n v="3"/>
    <n v="74"/>
    <n v="0"/>
    <n v="0"/>
    <d v="2025-06-11T00:00:00"/>
    <x v="23"/>
  </r>
  <r>
    <n v="20250611"/>
    <x v="0"/>
    <x v="3"/>
    <n v="2"/>
    <n v="17.5"/>
    <n v="0"/>
    <n v="0"/>
    <d v="2025-06-11T00:00:00"/>
    <x v="23"/>
  </r>
  <r>
    <n v="20250611"/>
    <x v="4"/>
    <x v="3"/>
    <n v="2"/>
    <n v="51"/>
    <n v="0"/>
    <n v="0"/>
    <d v="2025-06-11T00:00:00"/>
    <x v="23"/>
  </r>
  <r>
    <n v="20250611"/>
    <x v="5"/>
    <x v="3"/>
    <n v="1"/>
    <n v="45"/>
    <n v="0"/>
    <n v="0"/>
    <d v="2025-06-11T00:00:00"/>
    <x v="23"/>
  </r>
  <r>
    <n v="20250612"/>
    <x v="3"/>
    <x v="3"/>
    <n v="17"/>
    <n v="11.176470588235199"/>
    <n v="0"/>
    <n v="0"/>
    <d v="2025-06-12T00:00:00"/>
    <x v="23"/>
  </r>
  <r>
    <n v="20250612"/>
    <x v="2"/>
    <x v="3"/>
    <n v="12"/>
    <n v="7.5833333333333304"/>
    <n v="0"/>
    <n v="2"/>
    <d v="2025-06-12T00:00:00"/>
    <x v="23"/>
  </r>
  <r>
    <n v="20250612"/>
    <x v="3"/>
    <x v="5"/>
    <n v="4"/>
    <n v="1"/>
    <n v="0"/>
    <n v="0"/>
    <d v="2025-06-12T00:00:00"/>
    <x v="23"/>
  </r>
  <r>
    <n v="20250612"/>
    <x v="4"/>
    <x v="3"/>
    <n v="3"/>
    <n v="9.6666666666666607"/>
    <n v="0"/>
    <n v="0"/>
    <d v="2025-06-12T00:00:00"/>
    <x v="23"/>
  </r>
  <r>
    <n v="20250612"/>
    <x v="0"/>
    <x v="13"/>
    <n v="2"/>
    <n v="85"/>
    <n v="0"/>
    <n v="1"/>
    <d v="2025-06-12T00:00:00"/>
    <x v="23"/>
  </r>
  <r>
    <n v="20250612"/>
    <x v="3"/>
    <x v="4"/>
    <n v="1"/>
    <n v="32"/>
    <n v="0"/>
    <n v="0"/>
    <d v="2025-06-12T00:00:00"/>
    <x v="23"/>
  </r>
  <r>
    <n v="20250612"/>
    <x v="7"/>
    <x v="3"/>
    <n v="1"/>
    <n v="28"/>
    <n v="0"/>
    <n v="0"/>
    <d v="2025-06-12T00:00:00"/>
    <x v="23"/>
  </r>
  <r>
    <n v="20250612"/>
    <x v="1"/>
    <x v="5"/>
    <n v="1"/>
    <n v="1"/>
    <n v="0"/>
    <n v="0"/>
    <d v="2025-06-12T00:00:00"/>
    <x v="23"/>
  </r>
  <r>
    <n v="20250612"/>
    <x v="1"/>
    <x v="3"/>
    <n v="1"/>
    <n v="36"/>
    <n v="0"/>
    <n v="0"/>
    <d v="2025-06-12T00:00:00"/>
    <x v="23"/>
  </r>
  <r>
    <n v="20250612"/>
    <x v="0"/>
    <x v="8"/>
    <n v="1"/>
    <n v="7"/>
    <n v="0"/>
    <n v="2"/>
    <d v="2025-06-12T00:00:00"/>
    <x v="23"/>
  </r>
  <r>
    <n v="20250613"/>
    <x v="3"/>
    <x v="3"/>
    <n v="11"/>
    <n v="31.636363636363601"/>
    <n v="0"/>
    <n v="0"/>
    <d v="2025-06-13T00:00:00"/>
    <x v="23"/>
  </r>
  <r>
    <n v="20250613"/>
    <x v="2"/>
    <x v="3"/>
    <n v="6"/>
    <n v="12.3333333333333"/>
    <n v="0"/>
    <n v="0"/>
    <d v="2025-06-13T00:00:00"/>
    <x v="23"/>
  </r>
  <r>
    <n v="20250613"/>
    <x v="4"/>
    <x v="3"/>
    <n v="5"/>
    <n v="13"/>
    <n v="0"/>
    <n v="0"/>
    <d v="2025-06-13T00:00:00"/>
    <x v="23"/>
  </r>
  <r>
    <n v="20250613"/>
    <x v="0"/>
    <x v="13"/>
    <n v="4"/>
    <n v="79.5"/>
    <n v="0"/>
    <n v="0"/>
    <d v="2025-06-13T00:00:00"/>
    <x v="23"/>
  </r>
  <r>
    <n v="20250613"/>
    <x v="7"/>
    <x v="3"/>
    <n v="3"/>
    <n v="22"/>
    <n v="0"/>
    <n v="0"/>
    <d v="2025-06-13T00:00:00"/>
    <x v="23"/>
  </r>
  <r>
    <n v="20250613"/>
    <x v="3"/>
    <x v="4"/>
    <n v="3"/>
    <n v="41"/>
    <n v="0"/>
    <n v="0"/>
    <d v="2025-06-13T00:00:00"/>
    <x v="23"/>
  </r>
  <r>
    <n v="20250613"/>
    <x v="6"/>
    <x v="3"/>
    <n v="1"/>
    <n v="18"/>
    <n v="0"/>
    <n v="0"/>
    <d v="2025-06-13T00:00:00"/>
    <x v="23"/>
  </r>
  <r>
    <n v="20250613"/>
    <x v="0"/>
    <x v="3"/>
    <n v="1"/>
    <n v="34"/>
    <n v="0"/>
    <n v="0"/>
    <d v="2025-06-13T00:00:00"/>
    <x v="23"/>
  </r>
  <r>
    <n v="20250614"/>
    <x v="3"/>
    <x v="3"/>
    <n v="13"/>
    <n v="13.076923076923"/>
    <n v="0"/>
    <n v="0"/>
    <d v="2025-06-14T00:00:00"/>
    <x v="23"/>
  </r>
  <r>
    <n v="20250614"/>
    <x v="2"/>
    <x v="3"/>
    <n v="11"/>
    <n v="8.7272727272727195"/>
    <n v="0"/>
    <n v="0"/>
    <d v="2025-06-14T00:00:00"/>
    <x v="23"/>
  </r>
  <r>
    <n v="20250614"/>
    <x v="4"/>
    <x v="3"/>
    <n v="5"/>
    <n v="26.4"/>
    <n v="0"/>
    <n v="0"/>
    <d v="2025-06-14T00:00:00"/>
    <x v="23"/>
  </r>
  <r>
    <n v="20250614"/>
    <x v="0"/>
    <x v="13"/>
    <n v="3"/>
    <n v="75"/>
    <n v="0"/>
    <n v="0"/>
    <d v="2025-06-14T00:00:00"/>
    <x v="23"/>
  </r>
  <r>
    <n v="20250614"/>
    <x v="1"/>
    <x v="3"/>
    <n v="3"/>
    <n v="18"/>
    <n v="0"/>
    <n v="0"/>
    <d v="2025-06-14T00:00:00"/>
    <x v="23"/>
  </r>
  <r>
    <n v="20250614"/>
    <x v="0"/>
    <x v="3"/>
    <n v="3"/>
    <n v="33.3333333333333"/>
    <n v="0"/>
    <n v="0"/>
    <d v="2025-06-14T00:00:00"/>
    <x v="23"/>
  </r>
  <r>
    <n v="20250614"/>
    <x v="7"/>
    <x v="5"/>
    <n v="1"/>
    <n v="1"/>
    <n v="0"/>
    <n v="0"/>
    <d v="2025-06-14T00:00:00"/>
    <x v="23"/>
  </r>
  <r>
    <n v="20250615"/>
    <x v="3"/>
    <x v="3"/>
    <n v="19"/>
    <n v="12.5263157894736"/>
    <n v="0"/>
    <n v="0"/>
    <d v="2025-06-15T00:00:00"/>
    <x v="24"/>
  </r>
  <r>
    <n v="20250615"/>
    <x v="4"/>
    <x v="3"/>
    <n v="10"/>
    <n v="21.5"/>
    <n v="0"/>
    <n v="0"/>
    <d v="2025-06-15T00:00:00"/>
    <x v="24"/>
  </r>
  <r>
    <n v="20250615"/>
    <x v="2"/>
    <x v="3"/>
    <n v="6"/>
    <n v="6.5"/>
    <n v="0"/>
    <n v="0"/>
    <d v="2025-06-15T00:00:00"/>
    <x v="24"/>
  </r>
  <r>
    <n v="20250615"/>
    <x v="6"/>
    <x v="3"/>
    <n v="4"/>
    <n v="20"/>
    <n v="0"/>
    <n v="0"/>
    <d v="2025-06-15T00:00:00"/>
    <x v="24"/>
  </r>
  <r>
    <n v="20250615"/>
    <x v="0"/>
    <x v="13"/>
    <n v="3"/>
    <n v="82"/>
    <n v="0"/>
    <n v="0"/>
    <d v="2025-06-15T00:00:00"/>
    <x v="24"/>
  </r>
  <r>
    <n v="20250615"/>
    <x v="0"/>
    <x v="3"/>
    <n v="2"/>
    <n v="23"/>
    <n v="0"/>
    <n v="0"/>
    <d v="2025-06-15T00:00:00"/>
    <x v="24"/>
  </r>
  <r>
    <n v="20250616"/>
    <x v="3"/>
    <x v="3"/>
    <n v="21"/>
    <n v="13.523809523809501"/>
    <n v="0"/>
    <n v="0"/>
    <d v="2025-06-16T00:00:00"/>
    <x v="24"/>
  </r>
  <r>
    <n v="20250616"/>
    <x v="2"/>
    <x v="3"/>
    <n v="13"/>
    <n v="9"/>
    <n v="0"/>
    <n v="0"/>
    <d v="2025-06-16T00:00:00"/>
    <x v="24"/>
  </r>
  <r>
    <n v="20250616"/>
    <x v="0"/>
    <x v="13"/>
    <n v="5"/>
    <n v="84.8"/>
    <n v="0"/>
    <n v="0"/>
    <d v="2025-06-16T00:00:00"/>
    <x v="24"/>
  </r>
  <r>
    <n v="20250616"/>
    <x v="4"/>
    <x v="3"/>
    <n v="3"/>
    <n v="11"/>
    <n v="0"/>
    <n v="0"/>
    <d v="2025-06-16T00:00:00"/>
    <x v="24"/>
  </r>
  <r>
    <n v="20250616"/>
    <x v="0"/>
    <x v="3"/>
    <n v="1"/>
    <n v="30"/>
    <n v="0"/>
    <n v="0"/>
    <d v="2025-06-16T00:00:00"/>
    <x v="24"/>
  </r>
  <r>
    <n v="20250616"/>
    <x v="6"/>
    <x v="3"/>
    <n v="1"/>
    <n v="23"/>
    <n v="0"/>
    <n v="0"/>
    <d v="2025-06-16T00:00:00"/>
    <x v="24"/>
  </r>
  <r>
    <n v="20250617"/>
    <x v="3"/>
    <x v="3"/>
    <n v="27"/>
    <n v="15.148148148148101"/>
    <n v="0"/>
    <n v="0"/>
    <d v="2025-06-17T00:00:00"/>
    <x v="24"/>
  </r>
  <r>
    <n v="20250617"/>
    <x v="2"/>
    <x v="3"/>
    <n v="6"/>
    <n v="11.5"/>
    <n v="0"/>
    <n v="0"/>
    <d v="2025-06-17T00:00:00"/>
    <x v="24"/>
  </r>
  <r>
    <n v="20250617"/>
    <x v="4"/>
    <x v="3"/>
    <n v="6"/>
    <n v="22.1666666666666"/>
    <n v="0"/>
    <n v="0"/>
    <d v="2025-06-17T00:00:00"/>
    <x v="24"/>
  </r>
  <r>
    <n v="20250617"/>
    <x v="0"/>
    <x v="13"/>
    <n v="2"/>
    <n v="83.5"/>
    <n v="0"/>
    <n v="0"/>
    <d v="2025-06-17T00:00:00"/>
    <x v="24"/>
  </r>
  <r>
    <n v="20250617"/>
    <x v="0"/>
    <x v="3"/>
    <n v="1"/>
    <n v="38"/>
    <n v="0"/>
    <n v="0"/>
    <d v="2025-06-17T00:00:00"/>
    <x v="24"/>
  </r>
  <r>
    <n v="20250617"/>
    <x v="0"/>
    <x v="15"/>
    <n v="1"/>
    <n v="45"/>
    <n v="0"/>
    <n v="0"/>
    <d v="2025-06-17T00:00:00"/>
    <x v="24"/>
  </r>
  <r>
    <n v="20250618"/>
    <x v="3"/>
    <x v="3"/>
    <n v="26"/>
    <n v="15.615384615384601"/>
    <n v="0"/>
    <n v="0"/>
    <d v="2025-06-18T00:00:00"/>
    <x v="24"/>
  </r>
  <r>
    <n v="20250618"/>
    <x v="4"/>
    <x v="3"/>
    <n v="9"/>
    <n v="21.6666666666666"/>
    <n v="0"/>
    <n v="0"/>
    <d v="2025-06-18T00:00:00"/>
    <x v="24"/>
  </r>
  <r>
    <n v="20250618"/>
    <x v="2"/>
    <x v="3"/>
    <n v="7"/>
    <n v="7.71428571428571"/>
    <n v="0"/>
    <n v="0"/>
    <d v="2025-06-18T00:00:00"/>
    <x v="24"/>
  </r>
  <r>
    <n v="20250618"/>
    <x v="0"/>
    <x v="13"/>
    <n v="4"/>
    <n v="63.25"/>
    <n v="0"/>
    <n v="0"/>
    <d v="2025-06-18T00:00:00"/>
    <x v="24"/>
  </r>
  <r>
    <n v="20250618"/>
    <x v="0"/>
    <x v="3"/>
    <n v="1"/>
    <n v="33"/>
    <n v="0"/>
    <n v="0"/>
    <d v="2025-06-18T00:00:00"/>
    <x v="24"/>
  </r>
  <r>
    <n v="20250618"/>
    <x v="3"/>
    <x v="10"/>
    <n v="1"/>
    <n v="1"/>
    <n v="0"/>
    <n v="0"/>
    <d v="2025-06-18T00:00:00"/>
    <x v="24"/>
  </r>
  <r>
    <n v="20250619"/>
    <x v="0"/>
    <x v="13"/>
    <n v="6"/>
    <n v="48.6666666666666"/>
    <n v="0"/>
    <n v="0"/>
    <d v="2025-06-19T00:00:00"/>
    <x v="24"/>
  </r>
  <r>
    <n v="20250619"/>
    <x v="4"/>
    <x v="15"/>
    <n v="1"/>
    <n v="36"/>
    <n v="0"/>
    <n v="1"/>
    <d v="2025-06-19T00:00:00"/>
    <x v="24"/>
  </r>
  <r>
    <n v="20250619"/>
    <x v="0"/>
    <x v="5"/>
    <n v="1"/>
    <n v="1"/>
    <n v="0"/>
    <n v="0"/>
    <d v="2025-06-19T00:00:00"/>
    <x v="24"/>
  </r>
  <r>
    <n v="20250620"/>
    <x v="2"/>
    <x v="1"/>
    <n v="2"/>
    <n v="26.5"/>
    <n v="0"/>
    <n v="0"/>
    <d v="2025-06-20T00:00:00"/>
    <x v="24"/>
  </r>
  <r>
    <n v="20250620"/>
    <x v="0"/>
    <x v="13"/>
    <n v="2"/>
    <n v="44.5"/>
    <n v="0"/>
    <n v="0"/>
    <d v="2025-06-20T00:00:00"/>
    <x v="24"/>
  </r>
  <r>
    <n v="20250620"/>
    <x v="2"/>
    <x v="10"/>
    <n v="1"/>
    <n v="54"/>
    <n v="0"/>
    <n v="2"/>
    <d v="2025-06-20T00:00:00"/>
    <x v="24"/>
  </r>
  <r>
    <n v="20250621"/>
    <x v="0"/>
    <x v="13"/>
    <n v="1"/>
    <n v="77"/>
    <n v="0"/>
    <n v="0"/>
    <d v="2025-06-21T00:00:00"/>
    <x v="24"/>
  </r>
  <r>
    <n v="20250621"/>
    <x v="0"/>
    <x v="0"/>
    <n v="1"/>
    <n v="51"/>
    <n v="0"/>
    <n v="0"/>
    <d v="2025-06-21T00:00:00"/>
    <x v="24"/>
  </r>
  <r>
    <n v="20250621"/>
    <x v="3"/>
    <x v="8"/>
    <n v="1"/>
    <n v="72"/>
    <n v="0"/>
    <n v="0"/>
    <d v="2025-06-21T00:00:00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n v="20250102"/>
    <x v="0"/>
    <s v="B07J9KWKWL"/>
    <n v="1"/>
    <n v="1"/>
    <n v="0"/>
    <n v="0"/>
    <d v="2025-01-02T00:00:00"/>
    <x v="0"/>
  </r>
  <r>
    <n v="20250104"/>
    <x v="1"/>
    <s v="B07GBK4GXW"/>
    <n v="1"/>
    <n v="1"/>
    <n v="0"/>
    <n v="0"/>
    <d v="2025-01-04T00:00:00"/>
    <x v="0"/>
  </r>
  <r>
    <n v="20250105"/>
    <x v="0"/>
    <s v="B07J9KWKWL"/>
    <n v="2"/>
    <n v="1"/>
    <n v="0"/>
    <n v="0"/>
    <d v="2025-01-05T00:00:00"/>
    <x v="1"/>
  </r>
  <r>
    <n v="20250107"/>
    <x v="0"/>
    <s v="B07JVLZBYY"/>
    <n v="1"/>
    <n v="2"/>
    <n v="0"/>
    <n v="0"/>
    <d v="2025-01-07T00:00:00"/>
    <x v="1"/>
  </r>
  <r>
    <n v="20250113"/>
    <x v="0"/>
    <s v="B07GBK4GXW"/>
    <n v="4"/>
    <n v="17.25"/>
    <n v="0"/>
    <n v="0"/>
    <d v="2025-01-13T00:00:00"/>
    <x v="2"/>
  </r>
  <r>
    <n v="20250118"/>
    <x v="0"/>
    <s v="B07GBJV7SZ"/>
    <n v="1"/>
    <n v="80"/>
    <n v="0"/>
    <n v="0"/>
    <d v="2025-01-18T00:00:00"/>
    <x v="2"/>
  </r>
  <r>
    <n v="20250118"/>
    <x v="0"/>
    <s v="B07GBHNZ43"/>
    <n v="1"/>
    <n v="27"/>
    <n v="0"/>
    <n v="0"/>
    <d v="2025-01-18T00:00:00"/>
    <x v="2"/>
  </r>
  <r>
    <n v="20250119"/>
    <x v="1"/>
    <s v="B07GBK4GXW"/>
    <n v="1"/>
    <n v="26"/>
    <n v="0"/>
    <n v="0"/>
    <d v="2025-01-19T00:00:00"/>
    <x v="3"/>
  </r>
  <r>
    <n v="20250120"/>
    <x v="0"/>
    <s v="B00HERYYHW"/>
    <n v="1"/>
    <n v="1"/>
    <n v="0"/>
    <n v="0"/>
    <d v="2025-01-20T00:00:00"/>
    <x v="3"/>
  </r>
  <r>
    <n v="20250123"/>
    <x v="0"/>
    <s v="B07J9KWKWL"/>
    <n v="2"/>
    <n v="1"/>
    <n v="0"/>
    <n v="0"/>
    <d v="2025-01-23T00:00:00"/>
    <x v="3"/>
  </r>
  <r>
    <n v="20250126"/>
    <x v="0"/>
    <s v="B07GBK4GXW"/>
    <n v="2"/>
    <n v="1"/>
    <n v="0"/>
    <n v="0"/>
    <d v="2025-01-26T00:00:00"/>
    <x v="4"/>
  </r>
  <r>
    <n v="20250127"/>
    <x v="0"/>
    <s v="B07GBK4GXW"/>
    <n v="2"/>
    <n v="1"/>
    <n v="0"/>
    <n v="0"/>
    <d v="2025-01-27T00:00:00"/>
    <x v="4"/>
  </r>
  <r>
    <n v="20250131"/>
    <x v="1"/>
    <s v="B07GBJV7SZ"/>
    <n v="1"/>
    <n v="8"/>
    <n v="0"/>
    <n v="0"/>
    <d v="2025-01-31T00:00:00"/>
    <x v="4"/>
  </r>
  <r>
    <n v="20250203"/>
    <x v="1"/>
    <s v="B07GBK4GXW"/>
    <n v="1"/>
    <n v="1"/>
    <n v="0"/>
    <n v="0"/>
    <d v="2025-02-03T00:00:00"/>
    <x v="5"/>
  </r>
  <r>
    <n v="20250204"/>
    <x v="0"/>
    <s v="B07GBK4GXW"/>
    <n v="3"/>
    <n v="64.6666666666666"/>
    <n v="0"/>
    <n v="0"/>
    <d v="2025-02-04T00:00:00"/>
    <x v="5"/>
  </r>
  <r>
    <n v="20250205"/>
    <x v="0"/>
    <s v="B07GBHNZ43"/>
    <n v="1"/>
    <n v="28"/>
    <n v="0"/>
    <n v="0"/>
    <d v="2025-02-05T00:00:00"/>
    <x v="5"/>
  </r>
  <r>
    <n v="20250206"/>
    <x v="0"/>
    <s v="B00HERYYHW"/>
    <n v="2"/>
    <n v="1"/>
    <n v="0"/>
    <n v="0"/>
    <d v="2025-02-06T00:00:00"/>
    <x v="5"/>
  </r>
  <r>
    <n v="20250210"/>
    <x v="0"/>
    <s v="B07GBK4GXW"/>
    <n v="1"/>
    <n v="40"/>
    <n v="0"/>
    <n v="0"/>
    <d v="2025-02-10T00:00:00"/>
    <x v="6"/>
  </r>
  <r>
    <n v="20250213"/>
    <x v="1"/>
    <s v="B07GBK4GXW"/>
    <n v="2"/>
    <n v="1"/>
    <n v="0"/>
    <n v="0"/>
    <d v="2025-02-13T00:00:00"/>
    <x v="6"/>
  </r>
  <r>
    <n v="20250213"/>
    <x v="0"/>
    <s v="B07GBK4GXW"/>
    <n v="2"/>
    <n v="2"/>
    <n v="0"/>
    <n v="0"/>
    <d v="2025-02-13T00:00:00"/>
    <x v="6"/>
  </r>
  <r>
    <n v="20250214"/>
    <x v="0"/>
    <s v="B07GBK4GXW"/>
    <n v="1"/>
    <n v="42"/>
    <n v="0"/>
    <n v="0"/>
    <d v="2025-02-14T00:00:00"/>
    <x v="6"/>
  </r>
  <r>
    <n v="20250226"/>
    <x v="0"/>
    <s v="B00HERYYHW"/>
    <n v="1"/>
    <n v="1"/>
    <n v="0"/>
    <n v="0"/>
    <d v="2025-02-26T00:00:00"/>
    <x v="7"/>
  </r>
  <r>
    <n v="20250226"/>
    <x v="0"/>
    <s v="B07GBK4GXW"/>
    <n v="1"/>
    <n v="37"/>
    <n v="0"/>
    <n v="0"/>
    <d v="2025-02-26T00:00:00"/>
    <x v="7"/>
  </r>
  <r>
    <n v="20250301"/>
    <x v="0"/>
    <s v="B07GBK4GXW"/>
    <n v="1"/>
    <n v="2"/>
    <n v="0"/>
    <n v="0"/>
    <d v="2025-03-01T00:00:00"/>
    <x v="7"/>
  </r>
  <r>
    <n v="20250304"/>
    <x v="0"/>
    <s v="B00HERYYHW"/>
    <n v="1"/>
    <n v="1"/>
    <n v="0"/>
    <n v="0"/>
    <d v="2025-03-04T00:00:00"/>
    <x v="8"/>
  </r>
  <r>
    <n v="20250307"/>
    <x v="0"/>
    <s v="B07GBK4GXW"/>
    <n v="1"/>
    <n v="73"/>
    <n v="0"/>
    <n v="0"/>
    <d v="2025-03-07T00:00:00"/>
    <x v="8"/>
  </r>
  <r>
    <n v="20250308"/>
    <x v="0"/>
    <s v="B07GBK4GXW"/>
    <n v="1"/>
    <n v="35"/>
    <n v="0"/>
    <n v="0"/>
    <d v="2025-03-08T00:00:00"/>
    <x v="8"/>
  </r>
  <r>
    <n v="20250308"/>
    <x v="0"/>
    <s v="B00HERYYHW"/>
    <n v="1"/>
    <n v="2"/>
    <n v="0"/>
    <n v="0"/>
    <d v="2025-03-08T00:00:00"/>
    <x v="8"/>
  </r>
  <r>
    <n v="20250310"/>
    <x v="0"/>
    <s v="B00HERYYHW"/>
    <n v="1"/>
    <n v="1"/>
    <n v="0"/>
    <n v="0"/>
    <d v="2025-03-10T00:00:00"/>
    <x v="9"/>
  </r>
  <r>
    <n v="20250314"/>
    <x v="0"/>
    <s v="B00HERYYHW"/>
    <n v="6"/>
    <n v="1"/>
    <n v="0"/>
    <n v="0"/>
    <d v="2025-03-14T00:00:00"/>
    <x v="9"/>
  </r>
  <r>
    <n v="20250315"/>
    <x v="0"/>
    <s v="B07JVLZBYY"/>
    <n v="4"/>
    <n v="2"/>
    <n v="0"/>
    <n v="0"/>
    <d v="2025-03-15T00:00:00"/>
    <x v="9"/>
  </r>
  <r>
    <n v="20250315"/>
    <x v="0"/>
    <s v="B00HERYYHW"/>
    <n v="1"/>
    <n v="1"/>
    <n v="0"/>
    <n v="0"/>
    <d v="2025-03-15T00:00:00"/>
    <x v="9"/>
  </r>
  <r>
    <n v="20250316"/>
    <x v="0"/>
    <s v="B00HERYYHW"/>
    <n v="2"/>
    <n v="1"/>
    <n v="0"/>
    <n v="0"/>
    <d v="2025-03-16T00:00:00"/>
    <x v="10"/>
  </r>
  <r>
    <n v="20250318"/>
    <x v="0"/>
    <s v="B07GBK4GXW"/>
    <n v="2"/>
    <n v="6"/>
    <n v="0"/>
    <n v="0"/>
    <d v="2025-03-18T00:00:00"/>
    <x v="10"/>
  </r>
  <r>
    <n v="20250319"/>
    <x v="1"/>
    <s v="B07GBK4GXW"/>
    <n v="3"/>
    <n v="2"/>
    <n v="0"/>
    <n v="0"/>
    <d v="2025-03-19T00:00:00"/>
    <x v="10"/>
  </r>
  <r>
    <n v="20250323"/>
    <x v="0"/>
    <s v="B074PC4GGK"/>
    <n v="1"/>
    <n v="38"/>
    <n v="0"/>
    <n v="0"/>
    <d v="2025-03-23T00:00:00"/>
    <x v="11"/>
  </r>
  <r>
    <n v="20250324"/>
    <x v="0"/>
    <s v="B00HERYYHW"/>
    <n v="3"/>
    <n v="2"/>
    <n v="0"/>
    <n v="1"/>
    <d v="2025-03-24T00:00:00"/>
    <x v="11"/>
  </r>
  <r>
    <n v="20250328"/>
    <x v="1"/>
    <s v="B074PBSDP5"/>
    <n v="4"/>
    <n v="36.25"/>
    <n v="0"/>
    <n v="0"/>
    <d v="2025-03-28T00:00:00"/>
    <x v="11"/>
  </r>
  <r>
    <n v="20250328"/>
    <x v="0"/>
    <s v="B00HERYYHW"/>
    <n v="2"/>
    <n v="18.5"/>
    <n v="0"/>
    <n v="0"/>
    <d v="2025-03-28T00:00:00"/>
    <x v="11"/>
  </r>
  <r>
    <n v="20250328"/>
    <x v="0"/>
    <s v="B07GBK4GXW"/>
    <n v="1"/>
    <n v="39"/>
    <n v="0"/>
    <n v="0"/>
    <d v="2025-03-28T00:00:00"/>
    <x v="11"/>
  </r>
  <r>
    <n v="20250329"/>
    <x v="0"/>
    <s v="B00HERYYHW"/>
    <n v="1"/>
    <n v="1"/>
    <n v="0"/>
    <n v="0"/>
    <d v="2025-03-29T00:00:00"/>
    <x v="11"/>
  </r>
  <r>
    <n v="20250329"/>
    <x v="0"/>
    <s v="B07J9KWKWL"/>
    <n v="1"/>
    <n v="2"/>
    <n v="0"/>
    <n v="0"/>
    <d v="2025-03-29T00:00:00"/>
    <x v="11"/>
  </r>
  <r>
    <n v="20250401"/>
    <x v="0"/>
    <s v="B07J9KWKWL"/>
    <n v="2"/>
    <n v="1"/>
    <n v="0"/>
    <n v="0"/>
    <d v="2025-04-01T00:00:00"/>
    <x v="12"/>
  </r>
  <r>
    <n v="20250403"/>
    <x v="0"/>
    <s v="B00HERYYHW"/>
    <n v="3"/>
    <n v="11.3333333333333"/>
    <n v="0"/>
    <n v="0"/>
    <d v="2025-04-03T00:00:00"/>
    <x v="12"/>
  </r>
  <r>
    <n v="20250404"/>
    <x v="0"/>
    <s v="B00HERYYHW"/>
    <n v="1"/>
    <n v="80"/>
    <n v="0"/>
    <n v="0"/>
    <d v="2025-04-04T00:00:00"/>
    <x v="12"/>
  </r>
  <r>
    <n v="20250405"/>
    <x v="0"/>
    <s v="B00HERYYHW"/>
    <n v="3"/>
    <n v="50.6666666666666"/>
    <n v="0"/>
    <n v="0"/>
    <d v="2025-04-05T00:00:00"/>
    <x v="12"/>
  </r>
  <r>
    <n v="20250406"/>
    <x v="0"/>
    <s v="B00HERYYHW"/>
    <n v="2"/>
    <n v="14"/>
    <n v="0"/>
    <n v="0"/>
    <d v="2025-04-06T00:00:00"/>
    <x v="13"/>
  </r>
  <r>
    <n v="20250406"/>
    <x v="0"/>
    <s v="B07J9KWKWL"/>
    <n v="2"/>
    <n v="1"/>
    <n v="0"/>
    <n v="0"/>
    <d v="2025-04-06T00:00:00"/>
    <x v="13"/>
  </r>
  <r>
    <n v="20250406"/>
    <x v="0"/>
    <s v="B07GBK4GXW"/>
    <n v="2"/>
    <n v="1"/>
    <n v="0"/>
    <n v="0"/>
    <d v="2025-04-06T00:00:00"/>
    <x v="13"/>
  </r>
  <r>
    <n v="20250407"/>
    <x v="0"/>
    <s v="B00HERYYHW"/>
    <n v="3"/>
    <n v="52"/>
    <n v="0"/>
    <n v="0"/>
    <d v="2025-04-07T00:00:00"/>
    <x v="13"/>
  </r>
  <r>
    <n v="20250409"/>
    <x v="0"/>
    <s v="B00HERYYHW"/>
    <n v="1"/>
    <n v="17"/>
    <n v="0"/>
    <n v="0"/>
    <d v="2025-04-09T00:00:00"/>
    <x v="13"/>
  </r>
  <r>
    <n v="20250412"/>
    <x v="0"/>
    <s v="B00HERYYHW"/>
    <n v="3"/>
    <n v="1"/>
    <n v="0"/>
    <n v="0"/>
    <d v="2025-04-12T00:00:00"/>
    <x v="13"/>
  </r>
  <r>
    <n v="20250414"/>
    <x v="1"/>
    <s v="B07J9KWKWL"/>
    <n v="1"/>
    <n v="1"/>
    <n v="0"/>
    <n v="0"/>
    <d v="2025-04-14T00:00:00"/>
    <x v="14"/>
  </r>
  <r>
    <n v="20250415"/>
    <x v="0"/>
    <s v="B07GBK4GXW"/>
    <n v="3"/>
    <n v="2"/>
    <n v="0"/>
    <n v="0"/>
    <d v="2025-04-15T00:00:00"/>
    <x v="14"/>
  </r>
  <r>
    <n v="20250416"/>
    <x v="0"/>
    <s v="B07GBK4GXW"/>
    <n v="4"/>
    <n v="1"/>
    <n v="0"/>
    <n v="0"/>
    <d v="2025-04-16T00:00:00"/>
    <x v="14"/>
  </r>
  <r>
    <n v="20250417"/>
    <x v="0"/>
    <s v="B07GBK4GXW"/>
    <n v="1"/>
    <n v="1"/>
    <n v="0"/>
    <n v="0"/>
    <d v="2025-04-17T00:00:00"/>
    <x v="14"/>
  </r>
  <r>
    <n v="20250423"/>
    <x v="0"/>
    <s v="B00HERYYHW"/>
    <n v="1"/>
    <n v="84"/>
    <n v="0"/>
    <n v="0"/>
    <d v="2025-04-23T00:00:00"/>
    <x v="15"/>
  </r>
  <r>
    <n v="20250428"/>
    <x v="0"/>
    <s v="B07GBK4GXW"/>
    <n v="1"/>
    <n v="21"/>
    <n v="0"/>
    <n v="0"/>
    <d v="2025-04-28T00:00:00"/>
    <x v="16"/>
  </r>
  <r>
    <n v="20250428"/>
    <x v="1"/>
    <s v="B074PBSDP5"/>
    <n v="1"/>
    <n v="15"/>
    <n v="0"/>
    <n v="0"/>
    <d v="2025-04-28T00:00:00"/>
    <x v="16"/>
  </r>
  <r>
    <n v="20250428"/>
    <x v="1"/>
    <s v="B07GBK4GXW"/>
    <n v="1"/>
    <n v="37"/>
    <n v="0"/>
    <n v="0"/>
    <d v="2025-04-28T00:00:00"/>
    <x v="16"/>
  </r>
  <r>
    <n v="20250429"/>
    <x v="0"/>
    <s v="B07J9KWKWL"/>
    <n v="1"/>
    <n v="2"/>
    <n v="0"/>
    <n v="0"/>
    <d v="2025-04-29T00:00:00"/>
    <x v="16"/>
  </r>
  <r>
    <n v="20250430"/>
    <x v="1"/>
    <s v="B07J9KWKWL"/>
    <n v="2"/>
    <n v="1"/>
    <n v="0"/>
    <n v="0"/>
    <d v="2025-04-30T00:00:00"/>
    <x v="16"/>
  </r>
  <r>
    <n v="20250430"/>
    <x v="0"/>
    <s v="B07J9KWKWL"/>
    <n v="1"/>
    <n v="2"/>
    <n v="0"/>
    <n v="0"/>
    <d v="2025-04-30T00:00:00"/>
    <x v="16"/>
  </r>
  <r>
    <n v="20250501"/>
    <x v="0"/>
    <s v="B00HERYYHW"/>
    <n v="1"/>
    <n v="45"/>
    <n v="0"/>
    <n v="0"/>
    <d v="2025-05-01T00:00:00"/>
    <x v="16"/>
  </r>
  <r>
    <n v="20250502"/>
    <x v="0"/>
    <s v="B00HERYYHW"/>
    <n v="2"/>
    <n v="48.5"/>
    <n v="0"/>
    <n v="0"/>
    <d v="2025-05-02T00:00:00"/>
    <x v="16"/>
  </r>
  <r>
    <n v="20250503"/>
    <x v="0"/>
    <s v="B00HERYYHW"/>
    <n v="2"/>
    <n v="2"/>
    <n v="0"/>
    <n v="0"/>
    <d v="2025-05-03T00:00:00"/>
    <x v="16"/>
  </r>
  <r>
    <n v="20250503"/>
    <x v="1"/>
    <s v="B00HERYYHW"/>
    <n v="1"/>
    <n v="78"/>
    <n v="0"/>
    <n v="0"/>
    <d v="2025-05-03T00:00:00"/>
    <x v="16"/>
  </r>
  <r>
    <n v="20250506"/>
    <x v="0"/>
    <s v="B07JVLZBYY"/>
    <n v="1"/>
    <n v="1"/>
    <n v="0"/>
    <n v="0"/>
    <d v="2025-05-06T00:00:00"/>
    <x v="17"/>
  </r>
  <r>
    <n v="20250507"/>
    <x v="0"/>
    <s v="B07GBK4GXW"/>
    <n v="2"/>
    <n v="1"/>
    <n v="0"/>
    <n v="0"/>
    <d v="2025-05-07T00:00:00"/>
    <x v="17"/>
  </r>
  <r>
    <n v="20250508"/>
    <x v="0"/>
    <s v="B07GBK4GXW"/>
    <n v="1"/>
    <n v="79"/>
    <n v="0"/>
    <n v="0"/>
    <d v="2025-05-08T00:00:00"/>
    <x v="17"/>
  </r>
  <r>
    <n v="20250510"/>
    <x v="0"/>
    <s v="B07GBK4GXW"/>
    <n v="3"/>
    <n v="48.6666666666666"/>
    <n v="0"/>
    <n v="0"/>
    <d v="2025-05-10T00:00:00"/>
    <x v="17"/>
  </r>
  <r>
    <n v="20250511"/>
    <x v="0"/>
    <s v="B07GBK4GXW"/>
    <n v="2"/>
    <n v="48"/>
    <n v="0"/>
    <n v="0"/>
    <d v="2025-05-11T00:00:00"/>
    <x v="18"/>
  </r>
  <r>
    <n v="20250513"/>
    <x v="1"/>
    <s v="B07GBK4GXW"/>
    <n v="2"/>
    <n v="9.5"/>
    <n v="0"/>
    <n v="0"/>
    <d v="2025-05-13T00:00:00"/>
    <x v="18"/>
  </r>
  <r>
    <n v="20250513"/>
    <x v="0"/>
    <s v="B07GBK4GXW"/>
    <n v="1"/>
    <n v="48"/>
    <n v="0"/>
    <n v="0"/>
    <d v="2025-05-13T00:00:00"/>
    <x v="18"/>
  </r>
  <r>
    <n v="20250516"/>
    <x v="0"/>
    <s v="B00HERYYHW"/>
    <n v="5"/>
    <n v="1"/>
    <n v="0"/>
    <n v="1"/>
    <d v="2025-05-16T00:00:00"/>
    <x v="18"/>
  </r>
  <r>
    <n v="20250516"/>
    <x v="0"/>
    <s v="B07GBK4GXW"/>
    <n v="4"/>
    <n v="42"/>
    <n v="0"/>
    <n v="0"/>
    <d v="2025-05-16T00:00:00"/>
    <x v="18"/>
  </r>
  <r>
    <n v="20250517"/>
    <x v="0"/>
    <s v="B07GBK4GXW"/>
    <n v="9"/>
    <n v="42.5555555555555"/>
    <n v="0"/>
    <n v="0"/>
    <d v="2025-05-17T00:00:00"/>
    <x v="18"/>
  </r>
  <r>
    <n v="20250517"/>
    <x v="0"/>
    <s v="B00HERYYHW"/>
    <n v="1"/>
    <n v="84"/>
    <n v="0"/>
    <n v="0"/>
    <d v="2025-05-17T00:00:00"/>
    <x v="18"/>
  </r>
  <r>
    <n v="20250518"/>
    <x v="0"/>
    <s v="B07GBK4GXW"/>
    <n v="6"/>
    <n v="39.5"/>
    <n v="0"/>
    <n v="0"/>
    <d v="2025-05-18T00:00:00"/>
    <x v="19"/>
  </r>
  <r>
    <n v="20250519"/>
    <x v="0"/>
    <s v="B07GBK4GXW"/>
    <n v="2"/>
    <n v="44"/>
    <n v="0"/>
    <n v="0"/>
    <d v="2025-05-19T00:00:00"/>
    <x v="19"/>
  </r>
  <r>
    <n v="20250520"/>
    <x v="0"/>
    <s v="B07GBK4GXW"/>
    <n v="2"/>
    <n v="48"/>
    <n v="0"/>
    <n v="0"/>
    <d v="2025-05-20T00:00:00"/>
    <x v="19"/>
  </r>
  <r>
    <n v="20250520"/>
    <x v="1"/>
    <s v="B07GBK4GXW"/>
    <n v="2"/>
    <n v="23.5"/>
    <n v="0"/>
    <n v="0"/>
    <d v="2025-05-20T00:00:00"/>
    <x v="19"/>
  </r>
  <r>
    <n v="20250521"/>
    <x v="0"/>
    <s v="B07GBK4GXW"/>
    <n v="7"/>
    <n v="23.714285714285701"/>
    <n v="0"/>
    <n v="0"/>
    <d v="2025-05-21T00:00:00"/>
    <x v="19"/>
  </r>
  <r>
    <n v="20250521"/>
    <x v="0"/>
    <s v="B00HERYYHW"/>
    <n v="2"/>
    <n v="1"/>
    <n v="0"/>
    <n v="0"/>
    <d v="2025-05-21T00:00:00"/>
    <x v="19"/>
  </r>
  <r>
    <n v="20250522"/>
    <x v="1"/>
    <s v="B07GBK4HJ1"/>
    <n v="1"/>
    <n v="25"/>
    <n v="0"/>
    <n v="0"/>
    <d v="2025-05-22T00:00:00"/>
    <x v="19"/>
  </r>
  <r>
    <n v="20250523"/>
    <x v="0"/>
    <s v="B07J9KWKWL"/>
    <n v="1"/>
    <n v="1"/>
    <n v="0"/>
    <n v="0"/>
    <d v="2025-05-23T00:00:00"/>
    <x v="19"/>
  </r>
  <r>
    <n v="20250523"/>
    <x v="0"/>
    <s v="B07GBK4GXW"/>
    <n v="1"/>
    <n v="40"/>
    <n v="0"/>
    <n v="0"/>
    <d v="2025-05-23T00:00:00"/>
    <x v="19"/>
  </r>
  <r>
    <n v="20250524"/>
    <x v="0"/>
    <s v="B07J9KWKWL"/>
    <n v="6"/>
    <n v="1"/>
    <n v="0"/>
    <n v="0"/>
    <d v="2025-05-24T00:00:00"/>
    <x v="19"/>
  </r>
  <r>
    <n v="20250524"/>
    <x v="0"/>
    <s v="B07GBK4GXW"/>
    <n v="1"/>
    <n v="27"/>
    <n v="0"/>
    <n v="0"/>
    <d v="2025-05-24T00:00:00"/>
    <x v="19"/>
  </r>
  <r>
    <n v="20250525"/>
    <x v="0"/>
    <s v="B00HERYYHW"/>
    <n v="7"/>
    <n v="2"/>
    <n v="0"/>
    <n v="0"/>
    <d v="2025-05-25T00:00:00"/>
    <x v="20"/>
  </r>
  <r>
    <n v="20250525"/>
    <x v="0"/>
    <s v="B07GBK4GXW"/>
    <n v="2"/>
    <n v="19"/>
    <n v="0"/>
    <n v="0"/>
    <d v="2025-05-25T00:00:00"/>
    <x v="20"/>
  </r>
  <r>
    <n v="20250525"/>
    <x v="1"/>
    <s v="B07GBK4GXW"/>
    <n v="1"/>
    <n v="1"/>
    <n v="1"/>
    <n v="1"/>
    <d v="2025-05-25T00:00:00"/>
    <x v="20"/>
  </r>
  <r>
    <n v="20250526"/>
    <x v="0"/>
    <s v="B00HERYYHW"/>
    <n v="7"/>
    <n v="1"/>
    <n v="0"/>
    <n v="0"/>
    <d v="2025-05-26T00:00:00"/>
    <x v="20"/>
  </r>
  <r>
    <n v="20250526"/>
    <x v="0"/>
    <s v="B07GBK4GXW"/>
    <n v="1"/>
    <n v="40"/>
    <n v="0"/>
    <n v="0"/>
    <d v="2025-05-26T00:00:00"/>
    <x v="20"/>
  </r>
  <r>
    <n v="20250527"/>
    <x v="1"/>
    <s v="B07GBK4GXW"/>
    <n v="9"/>
    <n v="44.6666666666666"/>
    <n v="0"/>
    <n v="0"/>
    <d v="2025-05-27T00:00:00"/>
    <x v="20"/>
  </r>
  <r>
    <n v="20250527"/>
    <x v="0"/>
    <s v="B07GBK4GXW"/>
    <n v="1"/>
    <n v="2"/>
    <n v="1"/>
    <n v="2"/>
    <d v="2025-05-27T00:00:00"/>
    <x v="20"/>
  </r>
  <r>
    <n v="20250528"/>
    <x v="0"/>
    <s v="B07GBK4GXW"/>
    <n v="10"/>
    <n v="21"/>
    <n v="0"/>
    <n v="4"/>
    <d v="2025-05-28T00:00:00"/>
    <x v="20"/>
  </r>
  <r>
    <n v="20250528"/>
    <x v="1"/>
    <s v="B07GBK4GXW"/>
    <n v="1"/>
    <n v="75"/>
    <n v="0"/>
    <n v="0"/>
    <d v="2025-05-28T00:00:00"/>
    <x v="20"/>
  </r>
  <r>
    <n v="20250529"/>
    <x v="0"/>
    <s v="B07GBK4GXW"/>
    <n v="15"/>
    <n v="9.2666666666666604"/>
    <n v="0"/>
    <n v="0"/>
    <d v="2025-05-29T00:00:00"/>
    <x v="20"/>
  </r>
  <r>
    <n v="20250529"/>
    <x v="0"/>
    <s v="B07GBHNZ44"/>
    <n v="1"/>
    <n v="10"/>
    <n v="0"/>
    <n v="0"/>
    <d v="2025-05-29T00:00:00"/>
    <x v="20"/>
  </r>
  <r>
    <n v="20250530"/>
    <x v="0"/>
    <s v="B07GBK4GXW"/>
    <n v="9"/>
    <n v="20.1111111111111"/>
    <n v="0"/>
    <n v="0"/>
    <d v="2025-05-30T00:00:00"/>
    <x v="20"/>
  </r>
  <r>
    <n v="20250531"/>
    <x v="0"/>
    <s v="B07GBK4GXW"/>
    <n v="19"/>
    <n v="9.6842105263157894"/>
    <n v="0"/>
    <n v="0"/>
    <d v="2025-05-31T00:00:00"/>
    <x v="20"/>
  </r>
  <r>
    <n v="20250531"/>
    <x v="1"/>
    <s v="B07GBK4GXW"/>
    <n v="3"/>
    <n v="46.6666666666666"/>
    <n v="0"/>
    <n v="0"/>
    <d v="2025-05-31T00:00:00"/>
    <x v="20"/>
  </r>
  <r>
    <n v="20250531"/>
    <x v="0"/>
    <s v="B07GBJV7SZ"/>
    <n v="1"/>
    <n v="38"/>
    <n v="0"/>
    <n v="0"/>
    <d v="2025-05-31T00:00:00"/>
    <x v="20"/>
  </r>
  <r>
    <n v="20250601"/>
    <x v="0"/>
    <s v="B07GBK4GXW"/>
    <n v="10"/>
    <n v="6.9"/>
    <n v="0"/>
    <n v="0"/>
    <d v="2025-06-01T00:00:00"/>
    <x v="21"/>
  </r>
  <r>
    <n v="20250601"/>
    <x v="1"/>
    <s v="B07GBK4GXW"/>
    <n v="1"/>
    <n v="65"/>
    <n v="0"/>
    <n v="0"/>
    <d v="2025-06-01T00:00:00"/>
    <x v="21"/>
  </r>
  <r>
    <n v="20250602"/>
    <x v="0"/>
    <s v="B07GBK4GXW"/>
    <n v="8"/>
    <n v="24"/>
    <n v="0"/>
    <n v="0"/>
    <d v="2025-06-02T00:00:00"/>
    <x v="21"/>
  </r>
  <r>
    <n v="20250602"/>
    <x v="0"/>
    <s v="B07JVLZBYY"/>
    <n v="1"/>
    <n v="1"/>
    <n v="0"/>
    <n v="2"/>
    <d v="2025-06-02T00:00:00"/>
    <x v="21"/>
  </r>
  <r>
    <n v="20250603"/>
    <x v="0"/>
    <s v="B07GBK4GXW"/>
    <n v="32"/>
    <n v="20.25"/>
    <n v="0"/>
    <n v="0"/>
    <d v="2025-06-03T00:00:00"/>
    <x v="21"/>
  </r>
  <r>
    <n v="20250603"/>
    <x v="1"/>
    <s v="B07GBK4GXW"/>
    <n v="9"/>
    <n v="36.3333333333333"/>
    <n v="0"/>
    <n v="0"/>
    <d v="2025-06-03T00:00:00"/>
    <x v="21"/>
  </r>
  <r>
    <n v="20250603"/>
    <x v="0"/>
    <s v="B07GBJV7SZ"/>
    <n v="1"/>
    <n v="64"/>
    <n v="0"/>
    <n v="0"/>
    <d v="2025-06-03T00:00:00"/>
    <x v="21"/>
  </r>
  <r>
    <n v="20250604"/>
    <x v="0"/>
    <s v="B07GBK4GXW"/>
    <n v="28"/>
    <n v="21.25"/>
    <n v="0"/>
    <n v="0"/>
    <d v="2025-06-04T00:00:00"/>
    <x v="21"/>
  </r>
  <r>
    <n v="20250604"/>
    <x v="1"/>
    <s v="B07GBK4GXW"/>
    <n v="7"/>
    <n v="35.714285714285701"/>
    <n v="0"/>
    <n v="0"/>
    <d v="2025-06-04T00:00:00"/>
    <x v="21"/>
  </r>
  <r>
    <n v="20250605"/>
    <x v="0"/>
    <s v="B07GBK4GXW"/>
    <n v="14"/>
    <n v="23"/>
    <n v="0"/>
    <n v="0"/>
    <d v="2025-06-05T00:00:00"/>
    <x v="21"/>
  </r>
  <r>
    <n v="20250605"/>
    <x v="1"/>
    <s v="B07GBK4GXW"/>
    <n v="5"/>
    <n v="39.6"/>
    <n v="0"/>
    <n v="0"/>
    <d v="2025-06-05T00:00:00"/>
    <x v="21"/>
  </r>
  <r>
    <n v="20250606"/>
    <x v="0"/>
    <s v="B07GBK4GXW"/>
    <n v="22"/>
    <n v="11.863636363636299"/>
    <n v="0"/>
    <n v="1"/>
    <d v="2025-06-06T00:00:00"/>
    <x v="21"/>
  </r>
  <r>
    <n v="20250606"/>
    <x v="1"/>
    <s v="B07GBK4GXW"/>
    <n v="4"/>
    <n v="38.25"/>
    <n v="0"/>
    <n v="0"/>
    <d v="2025-06-06T00:00:00"/>
    <x v="21"/>
  </r>
  <r>
    <n v="20250607"/>
    <x v="0"/>
    <s v="B07GBK4GXW"/>
    <n v="15"/>
    <n v="11.6666666666666"/>
    <n v="0"/>
    <n v="0"/>
    <d v="2025-06-07T00:00:00"/>
    <x v="21"/>
  </r>
  <r>
    <n v="20250608"/>
    <x v="0"/>
    <s v="B07GBK4GXW"/>
    <n v="22"/>
    <n v="13.409090909090899"/>
    <n v="0"/>
    <n v="0"/>
    <d v="2025-06-08T00:00:00"/>
    <x v="22"/>
  </r>
  <r>
    <n v="20250608"/>
    <x v="1"/>
    <s v="B07GBK4GXW"/>
    <n v="6"/>
    <n v="26.5"/>
    <n v="0"/>
    <n v="0"/>
    <d v="2025-06-08T00:00:00"/>
    <x v="22"/>
  </r>
  <r>
    <n v="20250609"/>
    <x v="0"/>
    <s v="B07GBK4GXW"/>
    <n v="13"/>
    <n v="10.1538461538461"/>
    <n v="0"/>
    <n v="0"/>
    <d v="2025-06-09T00:00:00"/>
    <x v="22"/>
  </r>
  <r>
    <n v="20250609"/>
    <x v="1"/>
    <s v="B07GBK4GXW"/>
    <n v="4"/>
    <n v="30.5"/>
    <n v="0"/>
    <n v="0"/>
    <d v="2025-06-09T00:00:00"/>
    <x v="22"/>
  </r>
  <r>
    <n v="20250610"/>
    <x v="0"/>
    <s v="B07GBK4GXW"/>
    <n v="11"/>
    <n v="16.181818181818102"/>
    <n v="0"/>
    <n v="0"/>
    <d v="2025-06-10T00:00:00"/>
    <x v="22"/>
  </r>
  <r>
    <n v="20250610"/>
    <x v="0"/>
    <s v="B07J9KWKWL"/>
    <n v="3"/>
    <n v="1"/>
    <n v="0"/>
    <n v="0"/>
    <d v="2025-06-10T00:00:00"/>
    <x v="22"/>
  </r>
  <r>
    <n v="20250610"/>
    <x v="1"/>
    <s v="B07GBK4GXW"/>
    <n v="1"/>
    <n v="30"/>
    <n v="0"/>
    <n v="0"/>
    <d v="2025-06-10T00:00:00"/>
    <x v="22"/>
  </r>
  <r>
    <n v="20250611"/>
    <x v="0"/>
    <s v="B07GBK4GXW"/>
    <n v="11"/>
    <n v="19.4545454545454"/>
    <n v="0"/>
    <n v="0"/>
    <d v="2025-06-11T00:00:00"/>
    <x v="22"/>
  </r>
  <r>
    <n v="20250611"/>
    <x v="1"/>
    <s v="B07GBK4GXW"/>
    <n v="2"/>
    <n v="51"/>
    <n v="0"/>
    <n v="0"/>
    <d v="2025-06-11T00:00:00"/>
    <x v="22"/>
  </r>
  <r>
    <n v="20250612"/>
    <x v="0"/>
    <s v="B07GBK4GXW"/>
    <n v="17"/>
    <n v="11.176470588235199"/>
    <n v="0"/>
    <n v="0"/>
    <d v="2025-06-12T00:00:00"/>
    <x v="22"/>
  </r>
  <r>
    <n v="20250612"/>
    <x v="0"/>
    <s v="B00HERYYHW"/>
    <n v="4"/>
    <n v="1"/>
    <n v="0"/>
    <n v="0"/>
    <d v="2025-06-12T00:00:00"/>
    <x v="22"/>
  </r>
  <r>
    <n v="20250612"/>
    <x v="1"/>
    <s v="B07GBK4GXW"/>
    <n v="3"/>
    <n v="9.6666666666666607"/>
    <n v="0"/>
    <n v="0"/>
    <d v="2025-06-12T00:00:00"/>
    <x v="22"/>
  </r>
  <r>
    <n v="20250612"/>
    <x v="0"/>
    <s v="B07J9KWKWL"/>
    <n v="1"/>
    <n v="32"/>
    <n v="0"/>
    <n v="0"/>
    <d v="2025-06-12T00:00:00"/>
    <x v="22"/>
  </r>
  <r>
    <n v="20250613"/>
    <x v="0"/>
    <s v="B07GBK4GXW"/>
    <n v="11"/>
    <n v="31.636363636363601"/>
    <n v="0"/>
    <n v="0"/>
    <d v="2025-06-13T00:00:00"/>
    <x v="22"/>
  </r>
  <r>
    <n v="20250613"/>
    <x v="1"/>
    <s v="B07GBK4GXW"/>
    <n v="5"/>
    <n v="13"/>
    <n v="0"/>
    <n v="0"/>
    <d v="2025-06-13T00:00:00"/>
    <x v="22"/>
  </r>
  <r>
    <n v="20250613"/>
    <x v="0"/>
    <s v="B07J9KWKWL"/>
    <n v="3"/>
    <n v="41"/>
    <n v="0"/>
    <n v="0"/>
    <d v="2025-06-13T00:00:00"/>
    <x v="22"/>
  </r>
  <r>
    <n v="20250614"/>
    <x v="0"/>
    <s v="B07GBK4GXW"/>
    <n v="13"/>
    <n v="13.076923076923"/>
    <n v="0"/>
    <n v="0"/>
    <d v="2025-06-14T00:00:00"/>
    <x v="22"/>
  </r>
  <r>
    <n v="20250614"/>
    <x v="1"/>
    <s v="B07GBK4GXW"/>
    <n v="5"/>
    <n v="26.4"/>
    <n v="0"/>
    <n v="0"/>
    <d v="2025-06-14T00:00:00"/>
    <x v="22"/>
  </r>
  <r>
    <n v="20250615"/>
    <x v="0"/>
    <s v="B07GBK4GXW"/>
    <n v="19"/>
    <n v="12.5263157894736"/>
    <n v="0"/>
    <n v="0"/>
    <d v="2025-06-15T00:00:00"/>
    <x v="23"/>
  </r>
  <r>
    <n v="20250615"/>
    <x v="1"/>
    <s v="B07GBK4GXW"/>
    <n v="10"/>
    <n v="21.5"/>
    <n v="0"/>
    <n v="0"/>
    <d v="2025-06-15T00:00:00"/>
    <x v="23"/>
  </r>
  <r>
    <n v="20250616"/>
    <x v="0"/>
    <s v="B07GBK4GXW"/>
    <n v="21"/>
    <n v="13.523809523809501"/>
    <n v="0"/>
    <n v="0"/>
    <d v="2025-06-16T00:00:00"/>
    <x v="23"/>
  </r>
  <r>
    <n v="20250616"/>
    <x v="1"/>
    <s v="B07GBK4GXW"/>
    <n v="3"/>
    <n v="11"/>
    <n v="0"/>
    <n v="0"/>
    <d v="2025-06-16T00:00:00"/>
    <x v="23"/>
  </r>
  <r>
    <n v="20250617"/>
    <x v="0"/>
    <s v="B07GBK4GXW"/>
    <n v="27"/>
    <n v="15.148148148148101"/>
    <n v="0"/>
    <n v="0"/>
    <d v="2025-06-17T00:00:00"/>
    <x v="23"/>
  </r>
  <r>
    <n v="20250617"/>
    <x v="1"/>
    <s v="B07GBK4GXW"/>
    <n v="6"/>
    <n v="22.1666666666666"/>
    <n v="0"/>
    <n v="0"/>
    <d v="2025-06-17T00:00:00"/>
    <x v="23"/>
  </r>
  <r>
    <n v="20250618"/>
    <x v="0"/>
    <s v="B07GBK4GXW"/>
    <n v="26"/>
    <n v="15.615384615384601"/>
    <n v="0"/>
    <n v="0"/>
    <d v="2025-06-18T00:00:00"/>
    <x v="23"/>
  </r>
  <r>
    <n v="20250618"/>
    <x v="1"/>
    <s v="B07GBK4GXW"/>
    <n v="9"/>
    <n v="21.6666666666666"/>
    <n v="0"/>
    <n v="0"/>
    <d v="2025-06-18T00:00:00"/>
    <x v="23"/>
  </r>
  <r>
    <n v="20250618"/>
    <x v="0"/>
    <s v="B00HERYZ6C"/>
    <n v="1"/>
    <n v="1"/>
    <n v="0"/>
    <n v="0"/>
    <d v="2025-06-18T00:00:00"/>
    <x v="23"/>
  </r>
  <r>
    <n v="20250619"/>
    <x v="1"/>
    <s v="B07GBK2F24"/>
    <n v="1"/>
    <n v="36"/>
    <n v="0"/>
    <n v="1"/>
    <d v="2025-06-19T00:00:00"/>
    <x v="23"/>
  </r>
  <r>
    <n v="20250621"/>
    <x v="0"/>
    <s v="B07GBHNZ43"/>
    <n v="1"/>
    <n v="72"/>
    <n v="0"/>
    <n v="0"/>
    <d v="2025-06-21T00:00:00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450EF-B770-8440-A9C0-0F6386D10A8F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9" firstHeaderRow="1" firstDataRow="1" firstDataCol="1" rowPageCount="1" colPageCount="1"/>
  <pivotFields count="9">
    <pivotField showAll="0"/>
    <pivotField showAll="0">
      <items count="11">
        <item x="5"/>
        <item x="4"/>
        <item x="8"/>
        <item x="9"/>
        <item x="1"/>
        <item x="2"/>
        <item x="7"/>
        <item x="6"/>
        <item x="3"/>
        <item x="0"/>
        <item t="default"/>
      </items>
    </pivotField>
    <pivotField axis="axisPage" showAll="0">
      <items count="17">
        <item x="5"/>
        <item x="10"/>
        <item x="13"/>
        <item x="11"/>
        <item x="12"/>
        <item x="1"/>
        <item x="8"/>
        <item x="9"/>
        <item x="7"/>
        <item x="0"/>
        <item x="15"/>
        <item x="3"/>
        <item x="2"/>
        <item x="4"/>
        <item x="14"/>
        <item x="6"/>
        <item t="default"/>
      </items>
    </pivotField>
    <pivotField dataField="1" showAll="0"/>
    <pivotField showAll="0"/>
    <pivotField showAll="0"/>
    <pivotField showAll="0"/>
    <pivotField numFmtId="14"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 count="1">
    <field x="8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pageFields count="1">
    <pageField fld="2" hier="-1"/>
  </pageFields>
  <dataFields count="1">
    <dataField name="Sum of impression_count" fld="3" baseField="0" baseItem="0"/>
  </dataFields>
  <chartFormats count="25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6C518-7EDE-1744-A0DB-C50D0DDEA50B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L30" firstHeaderRow="1" firstDataRow="2" firstDataCol="1" rowPageCount="1" colPageCount="1"/>
  <pivotFields count="9">
    <pivotField showAll="0"/>
    <pivotField axis="axisCol" showAll="0">
      <items count="11">
        <item x="5"/>
        <item x="4"/>
        <item x="8"/>
        <item x="9"/>
        <item x="1"/>
        <item x="2"/>
        <item x="7"/>
        <item x="6"/>
        <item x="3"/>
        <item x="0"/>
        <item t="default"/>
      </items>
    </pivotField>
    <pivotField axis="axisPage" showAll="0">
      <items count="17">
        <item x="5"/>
        <item x="10"/>
        <item x="13"/>
        <item x="11"/>
        <item x="12"/>
        <item x="1"/>
        <item x="8"/>
        <item x="9"/>
        <item x="7"/>
        <item x="0"/>
        <item x="15"/>
        <item x="3"/>
        <item x="2"/>
        <item x="4"/>
        <item x="14"/>
        <item x="6"/>
        <item t="default"/>
      </items>
    </pivotField>
    <pivotField showAll="0"/>
    <pivotField showAll="0"/>
    <pivotField showAll="0"/>
    <pivotField dataField="1" showAll="0"/>
    <pivotField numFmtId="14"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 count="1">
    <field x="8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" hier="-1"/>
  </pageFields>
  <dataFields count="1">
    <dataField name="Sum of total_num_clicks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A02F5-8B3F-E14F-8CC2-92DFBA814A52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L30" firstHeaderRow="1" firstDataRow="2" firstDataCol="1"/>
  <pivotFields count="9">
    <pivotField showAll="0"/>
    <pivotField axis="axisCol" showAll="0">
      <items count="11">
        <item x="5"/>
        <item x="4"/>
        <item x="8"/>
        <item x="9"/>
        <item x="1"/>
        <item x="2"/>
        <item x="7"/>
        <item x="6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numFmtId="14"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 count="1">
    <field x="8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_num_purchases" fld="5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17786-573D-8A43-8EE4-1694CE927016}" name="PivotTable3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9" firstHeaderRow="1" firstDataRow="1" firstDataCol="1" rowPageCount="1" colPageCount="1"/>
  <pivotFields count="9">
    <pivotField showAll="0"/>
    <pivotField showAll="0">
      <items count="11">
        <item x="5"/>
        <item x="4"/>
        <item x="8"/>
        <item x="9"/>
        <item x="1"/>
        <item x="2"/>
        <item x="7"/>
        <item x="6"/>
        <item x="3"/>
        <item x="0"/>
        <item t="default"/>
      </items>
    </pivotField>
    <pivotField axis="axisPage" showAll="0">
      <items count="17">
        <item x="5"/>
        <item x="10"/>
        <item x="13"/>
        <item x="11"/>
        <item x="12"/>
        <item x="1"/>
        <item x="8"/>
        <item x="9"/>
        <item x="7"/>
        <item x="0"/>
        <item x="15"/>
        <item x="3"/>
        <item x="2"/>
        <item x="4"/>
        <item x="14"/>
        <item x="6"/>
        <item t="default"/>
      </items>
    </pivotField>
    <pivotField showAll="0"/>
    <pivotField dataField="1" showAll="0"/>
    <pivotField showAll="0"/>
    <pivotField showAll="0"/>
    <pivotField numFmtId="14"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 count="1">
    <field x="8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pageFields count="1">
    <pageField fld="2" hier="-1"/>
  </pageFields>
  <dataFields count="1">
    <dataField name="Average of avg_organic_position" fld="4" subtotal="average" baseField="0" baseItem="0"/>
  </dataFields>
  <chartFormats count="1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78CF9-C0F4-6040-975F-0FD2E7756960}" name="PivotTable4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29" firstHeaderRow="1" firstDataRow="2" firstDataCol="1"/>
  <pivotFields count="9"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numFmtId="14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impression_count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F4EA-6D45-744C-BA28-D4643A57D865}">
  <dimension ref="A1:B29"/>
  <sheetViews>
    <sheetView topLeftCell="A15" workbookViewId="0">
      <selection activeCell="A4" sqref="A4:K29"/>
    </sheetView>
  </sheetViews>
  <sheetFormatPr baseColWidth="10" defaultRowHeight="16" x14ac:dyDescent="0.2"/>
  <cols>
    <col min="1" max="1" width="13" bestFit="1" customWidth="1"/>
    <col min="2" max="2" width="22.33203125" bestFit="1" customWidth="1"/>
    <col min="3" max="3" width="12.33203125" bestFit="1" customWidth="1"/>
    <col min="4" max="4" width="6.1640625" bestFit="1" customWidth="1"/>
    <col min="5" max="5" width="22.6640625" bestFit="1" customWidth="1"/>
    <col min="6" max="6" width="17.33203125" bestFit="1" customWidth="1"/>
    <col min="7" max="7" width="26.6640625" bestFit="1" customWidth="1"/>
    <col min="8" max="8" width="11" bestFit="1" customWidth="1"/>
    <col min="9" max="9" width="27.6640625" bestFit="1" customWidth="1"/>
    <col min="10" max="10" width="19.6640625" bestFit="1" customWidth="1"/>
    <col min="11" max="11" width="24.1640625" bestFit="1" customWidth="1"/>
    <col min="12" max="12" width="10.5" bestFit="1" customWidth="1"/>
    <col min="13" max="20" width="3.1640625" bestFit="1" customWidth="1"/>
    <col min="21" max="26" width="4.1640625" bestFit="1" customWidth="1"/>
    <col min="27" max="27" width="10.5" bestFit="1" customWidth="1"/>
  </cols>
  <sheetData>
    <row r="1" spans="1:2" x14ac:dyDescent="0.2">
      <c r="A1" s="3" t="s">
        <v>2</v>
      </c>
      <c r="B1" t="s">
        <v>39</v>
      </c>
    </row>
    <row r="3" spans="1:2" x14ac:dyDescent="0.2">
      <c r="A3" s="3" t="s">
        <v>35</v>
      </c>
      <c r="B3" t="s">
        <v>37</v>
      </c>
    </row>
    <row r="4" spans="1:2" x14ac:dyDescent="0.2">
      <c r="A4" s="4">
        <v>1</v>
      </c>
      <c r="B4">
        <v>14</v>
      </c>
    </row>
    <row r="5" spans="1:2" x14ac:dyDescent="0.2">
      <c r="A5" s="4">
        <v>2</v>
      </c>
      <c r="B5">
        <v>33</v>
      </c>
    </row>
    <row r="6" spans="1:2" x14ac:dyDescent="0.2">
      <c r="A6" s="4">
        <v>3</v>
      </c>
      <c r="B6">
        <v>24</v>
      </c>
    </row>
    <row r="7" spans="1:2" x14ac:dyDescent="0.2">
      <c r="A7" s="4">
        <v>4</v>
      </c>
      <c r="B7">
        <v>24</v>
      </c>
    </row>
    <row r="8" spans="1:2" x14ac:dyDescent="0.2">
      <c r="A8" s="4">
        <v>5</v>
      </c>
      <c r="B8">
        <v>54</v>
      </c>
    </row>
    <row r="9" spans="1:2" x14ac:dyDescent="0.2">
      <c r="A9" s="4">
        <v>6</v>
      </c>
      <c r="B9">
        <v>43</v>
      </c>
    </row>
    <row r="10" spans="1:2" x14ac:dyDescent="0.2">
      <c r="A10" s="4">
        <v>7</v>
      </c>
      <c r="B10">
        <v>208</v>
      </c>
    </row>
    <row r="11" spans="1:2" x14ac:dyDescent="0.2">
      <c r="A11" s="4">
        <v>8</v>
      </c>
      <c r="B11">
        <v>130</v>
      </c>
    </row>
    <row r="12" spans="1:2" x14ac:dyDescent="0.2">
      <c r="A12" s="4">
        <v>9</v>
      </c>
      <c r="B12">
        <v>43</v>
      </c>
    </row>
    <row r="13" spans="1:2" x14ac:dyDescent="0.2">
      <c r="A13" s="4">
        <v>10</v>
      </c>
      <c r="B13">
        <v>22</v>
      </c>
    </row>
    <row r="14" spans="1:2" x14ac:dyDescent="0.2">
      <c r="A14" s="4">
        <v>11</v>
      </c>
      <c r="B14">
        <v>56</v>
      </c>
    </row>
    <row r="15" spans="1:2" x14ac:dyDescent="0.2">
      <c r="A15" s="4">
        <v>12</v>
      </c>
      <c r="B15">
        <v>29</v>
      </c>
    </row>
    <row r="16" spans="1:2" x14ac:dyDescent="0.2">
      <c r="A16" s="4">
        <v>13</v>
      </c>
      <c r="B16">
        <v>36</v>
      </c>
    </row>
    <row r="17" spans="1:2" x14ac:dyDescent="0.2">
      <c r="A17" s="4">
        <v>14</v>
      </c>
      <c r="B17">
        <v>46</v>
      </c>
    </row>
    <row r="18" spans="1:2" x14ac:dyDescent="0.2">
      <c r="A18" s="4">
        <v>15</v>
      </c>
      <c r="B18">
        <v>47</v>
      </c>
    </row>
    <row r="19" spans="1:2" x14ac:dyDescent="0.2">
      <c r="A19" s="4">
        <v>16</v>
      </c>
      <c r="B19">
        <v>36</v>
      </c>
    </row>
    <row r="20" spans="1:2" x14ac:dyDescent="0.2">
      <c r="A20" s="4">
        <v>17</v>
      </c>
      <c r="B20">
        <v>31</v>
      </c>
    </row>
    <row r="21" spans="1:2" x14ac:dyDescent="0.2">
      <c r="A21" s="4">
        <v>18</v>
      </c>
      <c r="B21">
        <v>49</v>
      </c>
    </row>
    <row r="22" spans="1:2" x14ac:dyDescent="0.2">
      <c r="A22" s="4">
        <v>19</v>
      </c>
      <c r="B22">
        <v>57</v>
      </c>
    </row>
    <row r="23" spans="1:2" x14ac:dyDescent="0.2">
      <c r="A23" s="4">
        <v>20</v>
      </c>
      <c r="B23">
        <v>264</v>
      </c>
    </row>
    <row r="24" spans="1:2" x14ac:dyDescent="0.2">
      <c r="A24" s="4">
        <v>21</v>
      </c>
      <c r="B24">
        <v>545</v>
      </c>
    </row>
    <row r="25" spans="1:2" x14ac:dyDescent="0.2">
      <c r="A25" s="4">
        <v>22</v>
      </c>
      <c r="B25">
        <v>213</v>
      </c>
    </row>
    <row r="26" spans="1:2" x14ac:dyDescent="0.2">
      <c r="A26" s="4">
        <v>23</v>
      </c>
      <c r="B26">
        <v>320</v>
      </c>
    </row>
    <row r="27" spans="1:2" x14ac:dyDescent="0.2">
      <c r="A27" s="4">
        <v>24</v>
      </c>
      <c r="B27">
        <v>282</v>
      </c>
    </row>
    <row r="28" spans="1:2" x14ac:dyDescent="0.2">
      <c r="A28" s="4">
        <v>25</v>
      </c>
      <c r="B28">
        <v>195</v>
      </c>
    </row>
    <row r="29" spans="1:2" x14ac:dyDescent="0.2">
      <c r="A29" s="4" t="s">
        <v>36</v>
      </c>
      <c r="B29">
        <v>2801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73B8-041B-824E-80F3-E36F32A5A2EC}">
  <dimension ref="A1:L30"/>
  <sheetViews>
    <sheetView workbookViewId="0">
      <selection activeCell="A4" sqref="A4:K29"/>
    </sheetView>
  </sheetViews>
  <sheetFormatPr baseColWidth="10" defaultRowHeight="16" x14ac:dyDescent="0.2"/>
  <cols>
    <col min="1" max="1" width="21.6640625" bestFit="1" customWidth="1"/>
    <col min="2" max="2" width="23.1640625" bestFit="1" customWidth="1"/>
    <col min="3" max="3" width="12.33203125" bestFit="1" customWidth="1"/>
    <col min="4" max="4" width="6.1640625" bestFit="1" customWidth="1"/>
    <col min="5" max="5" width="22.6640625" bestFit="1" customWidth="1"/>
    <col min="6" max="6" width="17.33203125" bestFit="1" customWidth="1"/>
    <col min="7" max="7" width="26.6640625" bestFit="1" customWidth="1"/>
    <col min="8" max="8" width="11" bestFit="1" customWidth="1"/>
    <col min="9" max="9" width="27.6640625" bestFit="1" customWidth="1"/>
    <col min="10" max="10" width="19.6640625" bestFit="1" customWidth="1"/>
    <col min="11" max="11" width="24.1640625" bestFit="1" customWidth="1"/>
    <col min="12" max="12" width="10.5" bestFit="1" customWidth="1"/>
  </cols>
  <sheetData>
    <row r="1" spans="1:12" x14ac:dyDescent="0.2">
      <c r="A1" s="3" t="s">
        <v>2</v>
      </c>
      <c r="B1" t="s">
        <v>39</v>
      </c>
    </row>
    <row r="3" spans="1:12" x14ac:dyDescent="0.2">
      <c r="A3" s="3" t="s">
        <v>40</v>
      </c>
      <c r="B3" s="3" t="s">
        <v>38</v>
      </c>
    </row>
    <row r="4" spans="1:12" x14ac:dyDescent="0.2">
      <c r="A4" s="3" t="s">
        <v>35</v>
      </c>
      <c r="B4" t="s">
        <v>19</v>
      </c>
      <c r="C4" t="s">
        <v>12</v>
      </c>
      <c r="D4" t="s">
        <v>30</v>
      </c>
      <c r="E4" t="s">
        <v>29</v>
      </c>
      <c r="F4" t="s">
        <v>16</v>
      </c>
      <c r="G4" t="s">
        <v>7</v>
      </c>
      <c r="H4" t="s">
        <v>23</v>
      </c>
      <c r="I4" t="s">
        <v>14</v>
      </c>
      <c r="J4" t="s">
        <v>9</v>
      </c>
      <c r="K4" t="s">
        <v>10</v>
      </c>
      <c r="L4" t="s">
        <v>36</v>
      </c>
    </row>
    <row r="5" spans="1:12" x14ac:dyDescent="0.2">
      <c r="A5" s="4">
        <v>1</v>
      </c>
      <c r="C5">
        <v>0</v>
      </c>
      <c r="F5">
        <v>0</v>
      </c>
      <c r="G5">
        <v>0</v>
      </c>
      <c r="J5">
        <v>0</v>
      </c>
      <c r="K5">
        <v>0</v>
      </c>
      <c r="L5">
        <v>0</v>
      </c>
    </row>
    <row r="6" spans="1:12" x14ac:dyDescent="0.2">
      <c r="A6" s="4">
        <v>2</v>
      </c>
      <c r="B6">
        <v>0</v>
      </c>
      <c r="F6">
        <v>0</v>
      </c>
      <c r="G6">
        <v>0</v>
      </c>
      <c r="I6">
        <v>2</v>
      </c>
      <c r="J6">
        <v>0</v>
      </c>
      <c r="K6">
        <v>0</v>
      </c>
      <c r="L6">
        <v>2</v>
      </c>
    </row>
    <row r="7" spans="1:12" x14ac:dyDescent="0.2">
      <c r="A7" s="4">
        <v>3</v>
      </c>
      <c r="B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</row>
    <row r="8" spans="1:12" x14ac:dyDescent="0.2">
      <c r="A8" s="4">
        <v>4</v>
      </c>
      <c r="C8">
        <v>0</v>
      </c>
      <c r="D8">
        <v>0</v>
      </c>
      <c r="F8">
        <v>0</v>
      </c>
      <c r="G8">
        <v>1</v>
      </c>
      <c r="H8">
        <v>0</v>
      </c>
      <c r="J8">
        <v>0</v>
      </c>
      <c r="K8">
        <v>5</v>
      </c>
      <c r="L8">
        <v>6</v>
      </c>
    </row>
    <row r="9" spans="1:12" x14ac:dyDescent="0.2">
      <c r="A9" s="4">
        <v>5</v>
      </c>
      <c r="B9">
        <v>0</v>
      </c>
      <c r="C9">
        <v>0</v>
      </c>
      <c r="F9">
        <v>0</v>
      </c>
      <c r="G9">
        <v>12</v>
      </c>
      <c r="J9">
        <v>0</v>
      </c>
      <c r="K9">
        <v>0</v>
      </c>
      <c r="L9">
        <v>12</v>
      </c>
    </row>
    <row r="10" spans="1:12" x14ac:dyDescent="0.2">
      <c r="A10" s="4">
        <v>6</v>
      </c>
      <c r="B10">
        <v>0</v>
      </c>
      <c r="C10">
        <v>0</v>
      </c>
      <c r="F10">
        <v>0</v>
      </c>
      <c r="G10">
        <v>4</v>
      </c>
      <c r="J10">
        <v>0</v>
      </c>
      <c r="K10">
        <v>0</v>
      </c>
      <c r="L10">
        <v>4</v>
      </c>
    </row>
    <row r="11" spans="1:12" x14ac:dyDescent="0.2">
      <c r="A11" s="4">
        <v>7</v>
      </c>
      <c r="C11">
        <v>0</v>
      </c>
      <c r="G11">
        <v>6</v>
      </c>
      <c r="J11">
        <v>0</v>
      </c>
      <c r="K11">
        <v>2</v>
      </c>
      <c r="L11">
        <v>8</v>
      </c>
    </row>
    <row r="12" spans="1:12" x14ac:dyDescent="0.2">
      <c r="A12" s="4">
        <v>8</v>
      </c>
      <c r="B12">
        <v>0</v>
      </c>
      <c r="F12">
        <v>0</v>
      </c>
      <c r="G12">
        <v>1</v>
      </c>
      <c r="H12">
        <v>2</v>
      </c>
      <c r="I12">
        <v>0</v>
      </c>
      <c r="K12">
        <v>0</v>
      </c>
      <c r="L12">
        <v>3</v>
      </c>
    </row>
    <row r="13" spans="1:12" x14ac:dyDescent="0.2">
      <c r="A13" s="4">
        <v>9</v>
      </c>
      <c r="B13">
        <v>0</v>
      </c>
      <c r="G13">
        <v>0</v>
      </c>
      <c r="H13">
        <v>0</v>
      </c>
      <c r="I13">
        <v>2</v>
      </c>
      <c r="J13">
        <v>0</v>
      </c>
      <c r="K13">
        <v>5</v>
      </c>
      <c r="L13">
        <v>7</v>
      </c>
    </row>
    <row r="14" spans="1:12" x14ac:dyDescent="0.2">
      <c r="A14" s="4">
        <v>10</v>
      </c>
      <c r="B14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</row>
    <row r="15" spans="1:12" x14ac:dyDescent="0.2">
      <c r="A15" s="4">
        <v>11</v>
      </c>
      <c r="B15">
        <v>1</v>
      </c>
      <c r="F15">
        <v>0</v>
      </c>
      <c r="G15">
        <v>0</v>
      </c>
      <c r="I15">
        <v>0</v>
      </c>
      <c r="J15">
        <v>0</v>
      </c>
      <c r="K15">
        <v>3</v>
      </c>
      <c r="L15">
        <v>4</v>
      </c>
    </row>
    <row r="16" spans="1:12" x14ac:dyDescent="0.2">
      <c r="A16" s="4">
        <v>12</v>
      </c>
      <c r="B16">
        <v>0</v>
      </c>
      <c r="C16">
        <v>0</v>
      </c>
      <c r="F16">
        <v>0</v>
      </c>
      <c r="G16">
        <v>0</v>
      </c>
      <c r="H16">
        <v>0</v>
      </c>
      <c r="J16">
        <v>0</v>
      </c>
      <c r="K16">
        <v>1</v>
      </c>
      <c r="L16">
        <v>1</v>
      </c>
    </row>
    <row r="17" spans="1:12" x14ac:dyDescent="0.2">
      <c r="A17" s="4">
        <v>13</v>
      </c>
      <c r="C17">
        <v>0</v>
      </c>
      <c r="G17">
        <v>0</v>
      </c>
      <c r="H17">
        <v>0</v>
      </c>
      <c r="J17">
        <v>1</v>
      </c>
      <c r="K17">
        <v>0</v>
      </c>
      <c r="L17">
        <v>1</v>
      </c>
    </row>
    <row r="18" spans="1:12" x14ac:dyDescent="0.2">
      <c r="A18" s="4">
        <v>14</v>
      </c>
      <c r="F18">
        <v>0</v>
      </c>
      <c r="G18">
        <v>0</v>
      </c>
      <c r="J18">
        <v>0</v>
      </c>
      <c r="K18">
        <v>0</v>
      </c>
      <c r="L18">
        <v>0</v>
      </c>
    </row>
    <row r="19" spans="1:12" x14ac:dyDescent="0.2">
      <c r="A19" s="4">
        <v>15</v>
      </c>
      <c r="B19">
        <v>0</v>
      </c>
      <c r="F19">
        <v>0</v>
      </c>
      <c r="G19">
        <v>0</v>
      </c>
      <c r="I19">
        <v>0</v>
      </c>
      <c r="J19">
        <v>0</v>
      </c>
      <c r="K19">
        <v>1</v>
      </c>
      <c r="L19">
        <v>1</v>
      </c>
    </row>
    <row r="20" spans="1:12" x14ac:dyDescent="0.2">
      <c r="A20" s="4">
        <v>16</v>
      </c>
      <c r="C20">
        <v>0</v>
      </c>
      <c r="F20">
        <v>0</v>
      </c>
      <c r="G20">
        <v>7</v>
      </c>
      <c r="I20">
        <v>0</v>
      </c>
      <c r="J20">
        <v>0</v>
      </c>
      <c r="K20">
        <v>5</v>
      </c>
      <c r="L20">
        <v>12</v>
      </c>
    </row>
    <row r="21" spans="1:12" x14ac:dyDescent="0.2">
      <c r="A21" s="4">
        <v>17</v>
      </c>
      <c r="B21">
        <v>0</v>
      </c>
      <c r="F21">
        <v>0</v>
      </c>
      <c r="G21">
        <v>0</v>
      </c>
      <c r="J21">
        <v>0</v>
      </c>
      <c r="K21">
        <v>1</v>
      </c>
      <c r="L21">
        <v>1</v>
      </c>
    </row>
    <row r="22" spans="1:12" x14ac:dyDescent="0.2">
      <c r="A22" s="4">
        <v>18</v>
      </c>
      <c r="B22">
        <v>0</v>
      </c>
      <c r="C22">
        <v>0</v>
      </c>
      <c r="F22">
        <v>0</v>
      </c>
      <c r="G22">
        <v>0</v>
      </c>
      <c r="J22">
        <v>0</v>
      </c>
      <c r="K22">
        <v>0</v>
      </c>
      <c r="L22">
        <v>0</v>
      </c>
    </row>
    <row r="23" spans="1:12" x14ac:dyDescent="0.2">
      <c r="A23" s="4">
        <v>19</v>
      </c>
      <c r="B23">
        <v>0</v>
      </c>
      <c r="F23">
        <v>0</v>
      </c>
      <c r="G23">
        <v>4</v>
      </c>
      <c r="J23">
        <v>0</v>
      </c>
      <c r="K23">
        <v>0</v>
      </c>
      <c r="L23">
        <v>4</v>
      </c>
    </row>
    <row r="24" spans="1:12" x14ac:dyDescent="0.2">
      <c r="A24" s="4">
        <v>20</v>
      </c>
      <c r="B24">
        <v>0</v>
      </c>
      <c r="C24">
        <v>0</v>
      </c>
      <c r="F24">
        <v>0</v>
      </c>
      <c r="G24">
        <v>7</v>
      </c>
      <c r="H24">
        <v>0</v>
      </c>
      <c r="J24">
        <v>1</v>
      </c>
      <c r="K24">
        <v>0</v>
      </c>
      <c r="L24">
        <v>8</v>
      </c>
    </row>
    <row r="25" spans="1:12" x14ac:dyDescent="0.2">
      <c r="A25" s="4">
        <v>21</v>
      </c>
      <c r="C25">
        <v>0</v>
      </c>
      <c r="E25">
        <v>0</v>
      </c>
      <c r="F25">
        <v>0</v>
      </c>
      <c r="G25">
        <v>7</v>
      </c>
      <c r="I25">
        <v>0</v>
      </c>
      <c r="J25">
        <v>0</v>
      </c>
      <c r="K25">
        <v>0</v>
      </c>
      <c r="L25">
        <v>7</v>
      </c>
    </row>
    <row r="26" spans="1:12" x14ac:dyDescent="0.2">
      <c r="A26" s="4">
        <v>22</v>
      </c>
      <c r="C26">
        <v>1</v>
      </c>
      <c r="F26">
        <v>0</v>
      </c>
      <c r="G26">
        <v>0</v>
      </c>
      <c r="H26">
        <v>0</v>
      </c>
      <c r="I26">
        <v>0</v>
      </c>
      <c r="J26">
        <v>6</v>
      </c>
      <c r="K26">
        <v>12</v>
      </c>
      <c r="L26">
        <v>19</v>
      </c>
    </row>
    <row r="27" spans="1:12" x14ac:dyDescent="0.2">
      <c r="A27" s="4">
        <v>23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0</v>
      </c>
      <c r="L27">
        <v>3</v>
      </c>
    </row>
    <row r="28" spans="1:12" x14ac:dyDescent="0.2">
      <c r="A28" s="4">
        <v>24</v>
      </c>
      <c r="B28">
        <v>0</v>
      </c>
      <c r="C28">
        <v>0</v>
      </c>
      <c r="F28">
        <v>0</v>
      </c>
      <c r="G28">
        <v>4</v>
      </c>
      <c r="H28">
        <v>0</v>
      </c>
      <c r="I28">
        <v>0</v>
      </c>
      <c r="J28">
        <v>0</v>
      </c>
      <c r="K28">
        <v>3</v>
      </c>
      <c r="L28">
        <v>7</v>
      </c>
    </row>
    <row r="29" spans="1:12" x14ac:dyDescent="0.2">
      <c r="A29" s="4">
        <v>25</v>
      </c>
      <c r="C29">
        <v>1</v>
      </c>
      <c r="G29">
        <v>2</v>
      </c>
      <c r="I29">
        <v>0</v>
      </c>
      <c r="J29">
        <v>0</v>
      </c>
      <c r="K29">
        <v>0</v>
      </c>
      <c r="L29">
        <v>3</v>
      </c>
    </row>
    <row r="30" spans="1:12" x14ac:dyDescent="0.2">
      <c r="A30" s="4" t="s">
        <v>36</v>
      </c>
      <c r="B30">
        <v>1</v>
      </c>
      <c r="C30">
        <v>2</v>
      </c>
      <c r="D30">
        <v>0</v>
      </c>
      <c r="E30">
        <v>0</v>
      </c>
      <c r="F30">
        <v>0</v>
      </c>
      <c r="G30">
        <v>55</v>
      </c>
      <c r="H30">
        <v>2</v>
      </c>
      <c r="I30">
        <v>4</v>
      </c>
      <c r="J30">
        <v>11</v>
      </c>
      <c r="K30">
        <v>38</v>
      </c>
      <c r="L30">
        <v>113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4E17-26A2-3949-B1A6-42D27A5735FD}">
  <dimension ref="A3:L30"/>
  <sheetViews>
    <sheetView topLeftCell="B20" zoomScale="150" workbookViewId="0">
      <selection activeCell="A4" sqref="A4:K29"/>
    </sheetView>
  </sheetViews>
  <sheetFormatPr baseColWidth="10" defaultRowHeight="16" x14ac:dyDescent="0.2"/>
  <cols>
    <col min="1" max="1" width="25.33203125" bestFit="1" customWidth="1"/>
    <col min="2" max="2" width="23.1640625" bestFit="1" customWidth="1"/>
    <col min="3" max="3" width="12.33203125" bestFit="1" customWidth="1"/>
    <col min="4" max="4" width="6.1640625" bestFit="1" customWidth="1"/>
    <col min="5" max="5" width="22.6640625" bestFit="1" customWidth="1"/>
    <col min="6" max="6" width="17.33203125" bestFit="1" customWidth="1"/>
    <col min="7" max="7" width="26.6640625" bestFit="1" customWidth="1"/>
    <col min="8" max="8" width="11" bestFit="1" customWidth="1"/>
    <col min="9" max="9" width="27.6640625" bestFit="1" customWidth="1"/>
    <col min="10" max="10" width="19.6640625" bestFit="1" customWidth="1"/>
    <col min="11" max="11" width="24.1640625" bestFit="1" customWidth="1"/>
    <col min="12" max="12" width="10.6640625" bestFit="1" customWidth="1"/>
  </cols>
  <sheetData>
    <row r="3" spans="1:12" x14ac:dyDescent="0.2">
      <c r="A3" s="3" t="s">
        <v>41</v>
      </c>
      <c r="B3" s="3" t="s">
        <v>38</v>
      </c>
    </row>
    <row r="4" spans="1:12" x14ac:dyDescent="0.2">
      <c r="A4" s="3" t="s">
        <v>35</v>
      </c>
      <c r="B4" t="s">
        <v>19</v>
      </c>
      <c r="C4" t="s">
        <v>12</v>
      </c>
      <c r="D4" t="s">
        <v>30</v>
      </c>
      <c r="E4" t="s">
        <v>29</v>
      </c>
      <c r="F4" t="s">
        <v>16</v>
      </c>
      <c r="G4" t="s">
        <v>7</v>
      </c>
      <c r="H4" t="s">
        <v>23</v>
      </c>
      <c r="I4" t="s">
        <v>14</v>
      </c>
      <c r="J4" t="s">
        <v>9</v>
      </c>
      <c r="K4" t="s">
        <v>10</v>
      </c>
      <c r="L4" t="s">
        <v>36</v>
      </c>
    </row>
    <row r="5" spans="1:12" x14ac:dyDescent="0.2">
      <c r="A5" s="4">
        <v>1</v>
      </c>
      <c r="C5">
        <v>0</v>
      </c>
      <c r="F5">
        <v>0</v>
      </c>
      <c r="G5">
        <v>0</v>
      </c>
      <c r="J5">
        <v>0</v>
      </c>
      <c r="K5">
        <v>0</v>
      </c>
      <c r="L5">
        <v>0</v>
      </c>
    </row>
    <row r="6" spans="1:12" x14ac:dyDescent="0.2">
      <c r="A6" s="4">
        <v>2</v>
      </c>
      <c r="B6">
        <v>0</v>
      </c>
      <c r="F6">
        <v>0</v>
      </c>
      <c r="G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 s="4">
        <v>3</v>
      </c>
      <c r="B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</row>
    <row r="8" spans="1:12" x14ac:dyDescent="0.2">
      <c r="A8" s="4">
        <v>4</v>
      </c>
      <c r="C8">
        <v>0</v>
      </c>
      <c r="D8">
        <v>0</v>
      </c>
      <c r="F8">
        <v>0</v>
      </c>
      <c r="G8">
        <v>0</v>
      </c>
      <c r="H8">
        <v>0</v>
      </c>
      <c r="J8">
        <v>0</v>
      </c>
      <c r="K8">
        <v>0</v>
      </c>
      <c r="L8">
        <v>0</v>
      </c>
    </row>
    <row r="9" spans="1:12" x14ac:dyDescent="0.2">
      <c r="A9" s="4">
        <v>5</v>
      </c>
      <c r="B9">
        <v>0</v>
      </c>
      <c r="C9">
        <v>0</v>
      </c>
      <c r="F9">
        <v>0</v>
      </c>
      <c r="G9">
        <v>1</v>
      </c>
      <c r="J9">
        <v>0</v>
      </c>
      <c r="K9">
        <v>0</v>
      </c>
      <c r="L9">
        <v>1</v>
      </c>
    </row>
    <row r="10" spans="1:12" x14ac:dyDescent="0.2">
      <c r="A10" s="4">
        <v>6</v>
      </c>
      <c r="B10">
        <v>0</v>
      </c>
      <c r="C10">
        <v>0</v>
      </c>
      <c r="F10">
        <v>0</v>
      </c>
      <c r="G10">
        <v>0</v>
      </c>
      <c r="J10">
        <v>0</v>
      </c>
      <c r="K10">
        <v>0</v>
      </c>
      <c r="L10">
        <v>0</v>
      </c>
    </row>
    <row r="11" spans="1:12" x14ac:dyDescent="0.2">
      <c r="A11" s="4">
        <v>7</v>
      </c>
      <c r="C11">
        <v>0</v>
      </c>
      <c r="G11">
        <v>0</v>
      </c>
      <c r="J11">
        <v>0</v>
      </c>
      <c r="K11">
        <v>0</v>
      </c>
      <c r="L11">
        <v>0</v>
      </c>
    </row>
    <row r="12" spans="1:12" x14ac:dyDescent="0.2">
      <c r="A12" s="4">
        <v>8</v>
      </c>
      <c r="B12">
        <v>0</v>
      </c>
      <c r="F12">
        <v>0</v>
      </c>
      <c r="G12">
        <v>0</v>
      </c>
      <c r="H12">
        <v>0</v>
      </c>
      <c r="I12">
        <v>0</v>
      </c>
      <c r="K12">
        <v>0</v>
      </c>
      <c r="L12">
        <v>0</v>
      </c>
    </row>
    <row r="13" spans="1:12" x14ac:dyDescent="0.2">
      <c r="A13" s="4">
        <v>9</v>
      </c>
      <c r="B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">
      <c r="A14" s="4">
        <v>10</v>
      </c>
      <c r="B14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</row>
    <row r="15" spans="1:12" x14ac:dyDescent="0.2">
      <c r="A15" s="4">
        <v>11</v>
      </c>
      <c r="B15">
        <v>0</v>
      </c>
      <c r="F15">
        <v>0</v>
      </c>
      <c r="G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s="4">
        <v>12</v>
      </c>
      <c r="B16">
        <v>0</v>
      </c>
      <c r="C16">
        <v>0</v>
      </c>
      <c r="F16">
        <v>0</v>
      </c>
      <c r="G16">
        <v>0</v>
      </c>
      <c r="H16">
        <v>0</v>
      </c>
      <c r="J16">
        <v>0</v>
      </c>
      <c r="K16">
        <v>0</v>
      </c>
      <c r="L16">
        <v>0</v>
      </c>
    </row>
    <row r="17" spans="1:12" x14ac:dyDescent="0.2">
      <c r="A17" s="4">
        <v>13</v>
      </c>
      <c r="C17">
        <v>0</v>
      </c>
      <c r="G17">
        <v>0</v>
      </c>
      <c r="H17">
        <v>0</v>
      </c>
      <c r="J17">
        <v>0</v>
      </c>
      <c r="K17">
        <v>0</v>
      </c>
      <c r="L17">
        <v>0</v>
      </c>
    </row>
    <row r="18" spans="1:12" x14ac:dyDescent="0.2">
      <c r="A18" s="4">
        <v>14</v>
      </c>
      <c r="F18">
        <v>0</v>
      </c>
      <c r="G18">
        <v>0</v>
      </c>
      <c r="J18">
        <v>0</v>
      </c>
      <c r="K18">
        <v>0</v>
      </c>
      <c r="L18">
        <v>0</v>
      </c>
    </row>
    <row r="19" spans="1:12" x14ac:dyDescent="0.2">
      <c r="A19" s="4">
        <v>15</v>
      </c>
      <c r="B19">
        <v>0</v>
      </c>
      <c r="F19">
        <v>0</v>
      </c>
      <c r="G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A20" s="4">
        <v>16</v>
      </c>
      <c r="C20">
        <v>0</v>
      </c>
      <c r="F20">
        <v>0</v>
      </c>
      <c r="G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s="4">
        <v>17</v>
      </c>
      <c r="B21">
        <v>0</v>
      </c>
      <c r="F21">
        <v>0</v>
      </c>
      <c r="G21">
        <v>0</v>
      </c>
      <c r="J21">
        <v>0</v>
      </c>
      <c r="K21">
        <v>0</v>
      </c>
      <c r="L21">
        <v>0</v>
      </c>
    </row>
    <row r="22" spans="1:12" x14ac:dyDescent="0.2">
      <c r="A22" s="4">
        <v>18</v>
      </c>
      <c r="B22">
        <v>0</v>
      </c>
      <c r="C22">
        <v>0</v>
      </c>
      <c r="F22">
        <v>0</v>
      </c>
      <c r="G22">
        <v>0</v>
      </c>
      <c r="J22">
        <v>0</v>
      </c>
      <c r="K22">
        <v>0</v>
      </c>
      <c r="L22">
        <v>0</v>
      </c>
    </row>
    <row r="23" spans="1:12" x14ac:dyDescent="0.2">
      <c r="A23" s="4">
        <v>19</v>
      </c>
      <c r="B23">
        <v>0</v>
      </c>
      <c r="F23">
        <v>0</v>
      </c>
      <c r="G23">
        <v>0</v>
      </c>
      <c r="J23">
        <v>0</v>
      </c>
      <c r="K23">
        <v>0</v>
      </c>
      <c r="L23">
        <v>0</v>
      </c>
    </row>
    <row r="24" spans="1:12" x14ac:dyDescent="0.2">
      <c r="A24" s="4">
        <v>20</v>
      </c>
      <c r="B24">
        <v>0</v>
      </c>
      <c r="C24">
        <v>0</v>
      </c>
      <c r="F24">
        <v>0</v>
      </c>
      <c r="G24">
        <v>2</v>
      </c>
      <c r="H24">
        <v>0</v>
      </c>
      <c r="J24">
        <v>0</v>
      </c>
      <c r="K24">
        <v>0</v>
      </c>
      <c r="L24">
        <v>2</v>
      </c>
    </row>
    <row r="25" spans="1:12" x14ac:dyDescent="0.2">
      <c r="A25" s="4">
        <v>21</v>
      </c>
      <c r="C25">
        <v>0</v>
      </c>
      <c r="E25">
        <v>0</v>
      </c>
      <c r="F25">
        <v>0</v>
      </c>
      <c r="G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 s="4">
        <v>22</v>
      </c>
      <c r="C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3</v>
      </c>
    </row>
    <row r="27" spans="1:12" x14ac:dyDescent="0.2">
      <c r="A27" s="4">
        <v>23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 s="4">
        <v>24</v>
      </c>
      <c r="B28">
        <v>0</v>
      </c>
      <c r="C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s="4">
        <v>25</v>
      </c>
      <c r="C29">
        <v>0</v>
      </c>
      <c r="G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s="4" t="s">
        <v>36</v>
      </c>
      <c r="B30">
        <v>0</v>
      </c>
      <c r="C30">
        <v>1</v>
      </c>
      <c r="D30">
        <v>0</v>
      </c>
      <c r="E30">
        <v>0</v>
      </c>
      <c r="F30">
        <v>0</v>
      </c>
      <c r="G30">
        <v>3</v>
      </c>
      <c r="H30">
        <v>0</v>
      </c>
      <c r="I30">
        <v>0</v>
      </c>
      <c r="J30">
        <v>1</v>
      </c>
      <c r="K30">
        <v>1</v>
      </c>
      <c r="L30">
        <v>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8398-6B50-0D4B-88C4-3D61FDAE0C16}">
  <dimension ref="A1:B29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28" bestFit="1" customWidth="1"/>
    <col min="3" max="3" width="12.33203125" bestFit="1" customWidth="1"/>
    <col min="4" max="4" width="6.1640625" bestFit="1" customWidth="1"/>
    <col min="5" max="5" width="22.6640625" bestFit="1" customWidth="1"/>
    <col min="6" max="6" width="17.33203125" bestFit="1" customWidth="1"/>
    <col min="7" max="7" width="26.6640625" bestFit="1" customWidth="1"/>
    <col min="8" max="8" width="12.1640625" bestFit="1" customWidth="1"/>
    <col min="9" max="9" width="27.6640625" bestFit="1" customWidth="1"/>
    <col min="10" max="10" width="19.6640625" bestFit="1" customWidth="1"/>
    <col min="11" max="11" width="24.1640625" bestFit="1" customWidth="1"/>
    <col min="12" max="12" width="12.1640625" bestFit="1" customWidth="1"/>
  </cols>
  <sheetData>
    <row r="1" spans="1:2" x14ac:dyDescent="0.2">
      <c r="A1" s="3" t="s">
        <v>2</v>
      </c>
      <c r="B1" t="s">
        <v>39</v>
      </c>
    </row>
    <row r="3" spans="1:2" x14ac:dyDescent="0.2">
      <c r="A3" s="3" t="s">
        <v>35</v>
      </c>
      <c r="B3" t="s">
        <v>42</v>
      </c>
    </row>
    <row r="4" spans="1:2" x14ac:dyDescent="0.2">
      <c r="A4" s="4">
        <v>1</v>
      </c>
      <c r="B4">
        <v>27.416666666666664</v>
      </c>
    </row>
    <row r="5" spans="1:2" x14ac:dyDescent="0.2">
      <c r="A5" s="4">
        <v>2</v>
      </c>
      <c r="B5">
        <v>14.888888888888888</v>
      </c>
    </row>
    <row r="6" spans="1:2" x14ac:dyDescent="0.2">
      <c r="A6" s="4">
        <v>3</v>
      </c>
      <c r="B6">
        <v>30.216666666666665</v>
      </c>
    </row>
    <row r="7" spans="1:2" x14ac:dyDescent="0.2">
      <c r="A7" s="4">
        <v>4</v>
      </c>
      <c r="B7">
        <v>18.05263157894737</v>
      </c>
    </row>
    <row r="8" spans="1:2" x14ac:dyDescent="0.2">
      <c r="A8" s="4">
        <v>5</v>
      </c>
      <c r="B8">
        <v>18.136538461538457</v>
      </c>
    </row>
    <row r="9" spans="1:2" x14ac:dyDescent="0.2">
      <c r="A9" s="4">
        <v>6</v>
      </c>
      <c r="B9">
        <v>30.421957671957664</v>
      </c>
    </row>
    <row r="10" spans="1:2" x14ac:dyDescent="0.2">
      <c r="A10" s="4">
        <v>7</v>
      </c>
      <c r="B10">
        <v>35.622341290139239</v>
      </c>
    </row>
    <row r="11" spans="1:2" x14ac:dyDescent="0.2">
      <c r="A11" s="4">
        <v>8</v>
      </c>
      <c r="B11">
        <v>41.730034502058068</v>
      </c>
    </row>
    <row r="12" spans="1:2" x14ac:dyDescent="0.2">
      <c r="A12" s="4">
        <v>9</v>
      </c>
      <c r="B12">
        <v>26.994166666666661</v>
      </c>
    </row>
    <row r="13" spans="1:2" x14ac:dyDescent="0.2">
      <c r="A13" s="4">
        <v>10</v>
      </c>
      <c r="B13">
        <v>25.577777777777776</v>
      </c>
    </row>
    <row r="14" spans="1:2" x14ac:dyDescent="0.2">
      <c r="A14" s="4">
        <v>11</v>
      </c>
      <c r="B14">
        <v>17.370454545454546</v>
      </c>
    </row>
    <row r="15" spans="1:2" x14ac:dyDescent="0.2">
      <c r="A15" s="4">
        <v>12</v>
      </c>
      <c r="B15">
        <v>18.222222222222221</v>
      </c>
    </row>
    <row r="16" spans="1:2" x14ac:dyDescent="0.2">
      <c r="A16" s="4">
        <v>13</v>
      </c>
      <c r="B16">
        <v>25.537500000000001</v>
      </c>
    </row>
    <row r="17" spans="1:2" x14ac:dyDescent="0.2">
      <c r="A17" s="4">
        <v>14</v>
      </c>
      <c r="B17">
        <v>30.343749999999996</v>
      </c>
    </row>
    <row r="18" spans="1:2" x14ac:dyDescent="0.2">
      <c r="A18" s="4">
        <v>15</v>
      </c>
      <c r="B18">
        <v>16.979166666666668</v>
      </c>
    </row>
    <row r="19" spans="1:2" x14ac:dyDescent="0.2">
      <c r="A19" s="4">
        <v>16</v>
      </c>
      <c r="B19">
        <v>19.469444444444445</v>
      </c>
    </row>
    <row r="20" spans="1:2" x14ac:dyDescent="0.2">
      <c r="A20" s="4">
        <v>17</v>
      </c>
      <c r="B20">
        <v>29.867647058823522</v>
      </c>
    </row>
    <row r="21" spans="1:2" x14ac:dyDescent="0.2">
      <c r="A21" s="4">
        <v>18</v>
      </c>
      <c r="B21">
        <v>22.027586206896551</v>
      </c>
    </row>
    <row r="22" spans="1:2" x14ac:dyDescent="0.2">
      <c r="A22" s="4">
        <v>19</v>
      </c>
      <c r="B22">
        <v>23.029545454545449</v>
      </c>
    </row>
    <row r="23" spans="1:2" x14ac:dyDescent="0.2">
      <c r="A23" s="4">
        <v>20</v>
      </c>
      <c r="B23">
        <v>38.785113730011119</v>
      </c>
    </row>
    <row r="24" spans="1:2" x14ac:dyDescent="0.2">
      <c r="A24" s="4">
        <v>21</v>
      </c>
      <c r="B24">
        <v>32.104543230381573</v>
      </c>
    </row>
    <row r="25" spans="1:2" x14ac:dyDescent="0.2">
      <c r="A25" s="4">
        <v>22</v>
      </c>
      <c r="B25">
        <v>18.63691969481442</v>
      </c>
    </row>
    <row r="26" spans="1:2" x14ac:dyDescent="0.2">
      <c r="A26" s="4">
        <v>23</v>
      </c>
      <c r="B26">
        <v>30.507960731462386</v>
      </c>
    </row>
    <row r="27" spans="1:2" x14ac:dyDescent="0.2">
      <c r="A27" s="4">
        <v>24</v>
      </c>
      <c r="B27">
        <v>27.915308984732746</v>
      </c>
    </row>
    <row r="28" spans="1:2" x14ac:dyDescent="0.2">
      <c r="A28" s="4">
        <v>25</v>
      </c>
      <c r="B28">
        <v>33.487210417912166</v>
      </c>
    </row>
    <row r="29" spans="1:2" x14ac:dyDescent="0.2">
      <c r="A29" s="4" t="s">
        <v>36</v>
      </c>
      <c r="B29">
        <v>26.645328584329089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3D48-39B3-C745-AC25-AA91918529A3}">
  <dimension ref="A1:J604"/>
  <sheetViews>
    <sheetView topLeftCell="A379" workbookViewId="0">
      <selection activeCell="A7" sqref="A1:J599"/>
    </sheetView>
  </sheetViews>
  <sheetFormatPr baseColWidth="10" defaultRowHeight="16" x14ac:dyDescent="0.2"/>
  <cols>
    <col min="2" max="2" width="28.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</v>
      </c>
      <c r="I1" s="2" t="s">
        <v>34</v>
      </c>
      <c r="J1" s="2" t="s">
        <v>43</v>
      </c>
    </row>
    <row r="2" spans="1:10" x14ac:dyDescent="0.2">
      <c r="A2">
        <v>20250101</v>
      </c>
      <c r="B2" t="s">
        <v>16</v>
      </c>
      <c r="C2" t="s">
        <v>25</v>
      </c>
      <c r="D2">
        <v>2</v>
      </c>
      <c r="E2">
        <v>37.5</v>
      </c>
      <c r="F2">
        <v>0</v>
      </c>
      <c r="G2">
        <v>0</v>
      </c>
      <c r="H2" s="1">
        <f t="shared" ref="H2:H65" si="0">DATE(LEFT(A2,4),MID(A2,5,2),RIGHT(A2,2))</f>
        <v>45658</v>
      </c>
      <c r="I2">
        <f t="shared" ref="I2:I65" si="1">WEEKNUM(H2)</f>
        <v>1</v>
      </c>
      <c r="J2" s="5">
        <f>(D2*E2)/SUM(D2:D599)</f>
        <v>2.6776151374509102E-2</v>
      </c>
    </row>
    <row r="3" spans="1:10" x14ac:dyDescent="0.2">
      <c r="A3">
        <v>20250101</v>
      </c>
      <c r="B3" t="s">
        <v>7</v>
      </c>
      <c r="C3" t="s">
        <v>17</v>
      </c>
      <c r="D3">
        <v>1</v>
      </c>
      <c r="E3">
        <v>20</v>
      </c>
      <c r="F3">
        <v>0</v>
      </c>
      <c r="G3">
        <v>0</v>
      </c>
      <c r="H3" s="1">
        <f t="shared" si="0"/>
        <v>45658</v>
      </c>
      <c r="I3">
        <f t="shared" si="1"/>
        <v>1</v>
      </c>
      <c r="J3" s="5">
        <f t="shared" ref="J3:J5" si="2">(D3*E3)/SUM(D3:D600)</f>
        <v>7.145409074669525E-3</v>
      </c>
    </row>
    <row r="4" spans="1:10" x14ac:dyDescent="0.2">
      <c r="A4">
        <v>20250101</v>
      </c>
      <c r="B4" t="s">
        <v>7</v>
      </c>
      <c r="C4" t="s">
        <v>8</v>
      </c>
      <c r="D4">
        <v>1</v>
      </c>
      <c r="E4">
        <v>90</v>
      </c>
      <c r="F4">
        <v>0</v>
      </c>
      <c r="G4">
        <v>0</v>
      </c>
      <c r="H4" s="1">
        <f t="shared" si="0"/>
        <v>45658</v>
      </c>
      <c r="I4">
        <f t="shared" si="1"/>
        <v>1</v>
      </c>
      <c r="J4" s="5">
        <f t="shared" si="2"/>
        <v>3.2165832737669764E-2</v>
      </c>
    </row>
    <row r="5" spans="1:10" x14ac:dyDescent="0.2">
      <c r="A5">
        <v>20250101</v>
      </c>
      <c r="B5" t="s">
        <v>10</v>
      </c>
      <c r="C5" t="s">
        <v>25</v>
      </c>
      <c r="D5">
        <v>3</v>
      </c>
      <c r="E5">
        <v>34.6666666666666</v>
      </c>
      <c r="F5">
        <v>0</v>
      </c>
      <c r="G5">
        <v>0</v>
      </c>
      <c r="H5" s="1">
        <f t="shared" si="0"/>
        <v>45658</v>
      </c>
      <c r="I5">
        <f t="shared" si="1"/>
        <v>1</v>
      </c>
      <c r="J5" s="5">
        <f t="shared" si="2"/>
        <v>3.7182695745441474E-2</v>
      </c>
    </row>
    <row r="6" spans="1:10" x14ac:dyDescent="0.2">
      <c r="A6">
        <v>20250101</v>
      </c>
      <c r="B6" t="s">
        <v>10</v>
      </c>
      <c r="C6" t="s">
        <v>28</v>
      </c>
      <c r="D6">
        <v>1</v>
      </c>
      <c r="E6">
        <v>37</v>
      </c>
      <c r="F6">
        <v>0</v>
      </c>
      <c r="G6">
        <v>0</v>
      </c>
      <c r="H6" s="1">
        <f t="shared" si="0"/>
        <v>45658</v>
      </c>
      <c r="I6">
        <f t="shared" si="1"/>
        <v>1</v>
      </c>
    </row>
    <row r="7" spans="1:10" x14ac:dyDescent="0.2">
      <c r="A7">
        <v>20250101</v>
      </c>
      <c r="B7" t="s">
        <v>10</v>
      </c>
      <c r="C7" t="s">
        <v>8</v>
      </c>
      <c r="D7">
        <v>1</v>
      </c>
      <c r="E7">
        <v>9</v>
      </c>
      <c r="F7">
        <v>0</v>
      </c>
      <c r="G7">
        <v>0</v>
      </c>
      <c r="H7" s="1">
        <f t="shared" si="0"/>
        <v>45658</v>
      </c>
      <c r="I7">
        <f t="shared" si="1"/>
        <v>1</v>
      </c>
    </row>
    <row r="8" spans="1:10" x14ac:dyDescent="0.2">
      <c r="A8">
        <v>20250102</v>
      </c>
      <c r="B8" t="s">
        <v>7</v>
      </c>
      <c r="C8" t="s">
        <v>28</v>
      </c>
      <c r="D8">
        <v>2</v>
      </c>
      <c r="E8">
        <v>13</v>
      </c>
      <c r="F8">
        <v>0</v>
      </c>
      <c r="G8">
        <v>0</v>
      </c>
      <c r="H8" s="1">
        <f t="shared" si="0"/>
        <v>45659</v>
      </c>
      <c r="I8">
        <f t="shared" si="1"/>
        <v>1</v>
      </c>
    </row>
    <row r="9" spans="1:10" x14ac:dyDescent="0.2">
      <c r="A9">
        <v>20250102</v>
      </c>
      <c r="B9" t="s">
        <v>9</v>
      </c>
      <c r="C9" t="s">
        <v>15</v>
      </c>
      <c r="D9">
        <v>1</v>
      </c>
      <c r="E9">
        <v>1</v>
      </c>
      <c r="F9">
        <v>0</v>
      </c>
      <c r="G9">
        <v>0</v>
      </c>
      <c r="H9" s="1">
        <f t="shared" si="0"/>
        <v>45659</v>
      </c>
      <c r="I9">
        <f t="shared" si="1"/>
        <v>1</v>
      </c>
    </row>
    <row r="10" spans="1:10" x14ac:dyDescent="0.2">
      <c r="A10">
        <v>20250104</v>
      </c>
      <c r="B10" t="s">
        <v>12</v>
      </c>
      <c r="C10" t="s">
        <v>8</v>
      </c>
      <c r="D10">
        <v>1</v>
      </c>
      <c r="E10">
        <v>1</v>
      </c>
      <c r="F10">
        <v>0</v>
      </c>
      <c r="G10">
        <v>0</v>
      </c>
      <c r="H10" s="1">
        <f t="shared" si="0"/>
        <v>45661</v>
      </c>
      <c r="I10">
        <f t="shared" si="1"/>
        <v>1</v>
      </c>
    </row>
    <row r="11" spans="1:10" x14ac:dyDescent="0.2">
      <c r="A11">
        <v>20250104</v>
      </c>
      <c r="B11" t="s">
        <v>16</v>
      </c>
      <c r="C11" t="s">
        <v>17</v>
      </c>
      <c r="D11">
        <v>1</v>
      </c>
      <c r="E11">
        <v>31</v>
      </c>
      <c r="F11">
        <v>0</v>
      </c>
      <c r="G11">
        <v>0</v>
      </c>
      <c r="H11" s="1">
        <f t="shared" si="0"/>
        <v>45661</v>
      </c>
      <c r="I11">
        <f t="shared" si="1"/>
        <v>1</v>
      </c>
    </row>
    <row r="12" spans="1:10" x14ac:dyDescent="0.2">
      <c r="A12">
        <v>20250105</v>
      </c>
      <c r="B12" t="s">
        <v>9</v>
      </c>
      <c r="C12" t="s">
        <v>15</v>
      </c>
      <c r="D12">
        <v>2</v>
      </c>
      <c r="E12">
        <v>1</v>
      </c>
      <c r="F12">
        <v>0</v>
      </c>
      <c r="G12">
        <v>0</v>
      </c>
      <c r="H12" s="1">
        <f t="shared" si="0"/>
        <v>45662</v>
      </c>
      <c r="I12">
        <f t="shared" si="1"/>
        <v>2</v>
      </c>
    </row>
    <row r="13" spans="1:10" x14ac:dyDescent="0.2">
      <c r="A13">
        <v>20250106</v>
      </c>
      <c r="B13" t="s">
        <v>19</v>
      </c>
      <c r="C13" t="s">
        <v>15</v>
      </c>
      <c r="D13">
        <v>4</v>
      </c>
      <c r="E13">
        <v>2</v>
      </c>
      <c r="F13">
        <v>0</v>
      </c>
      <c r="G13">
        <v>0</v>
      </c>
      <c r="H13" s="1">
        <f t="shared" si="0"/>
        <v>45663</v>
      </c>
      <c r="I13">
        <f t="shared" si="1"/>
        <v>2</v>
      </c>
    </row>
    <row r="14" spans="1:10" x14ac:dyDescent="0.2">
      <c r="A14">
        <v>20250106</v>
      </c>
      <c r="B14" t="s">
        <v>16</v>
      </c>
      <c r="C14" t="s">
        <v>13</v>
      </c>
      <c r="D14">
        <v>2</v>
      </c>
      <c r="E14">
        <v>1</v>
      </c>
      <c r="F14">
        <v>0</v>
      </c>
      <c r="G14">
        <v>0</v>
      </c>
      <c r="H14" s="1">
        <f t="shared" si="0"/>
        <v>45663</v>
      </c>
      <c r="I14">
        <f t="shared" si="1"/>
        <v>2</v>
      </c>
    </row>
    <row r="15" spans="1:10" x14ac:dyDescent="0.2">
      <c r="A15">
        <v>20250106</v>
      </c>
      <c r="B15" t="s">
        <v>16</v>
      </c>
      <c r="C15" t="s">
        <v>8</v>
      </c>
      <c r="D15">
        <v>1</v>
      </c>
      <c r="E15">
        <v>38</v>
      </c>
      <c r="F15">
        <v>0</v>
      </c>
      <c r="G15">
        <v>0</v>
      </c>
      <c r="H15" s="1">
        <f t="shared" si="0"/>
        <v>45663</v>
      </c>
      <c r="I15">
        <f t="shared" si="1"/>
        <v>2</v>
      </c>
    </row>
    <row r="16" spans="1:10" x14ac:dyDescent="0.2">
      <c r="A16">
        <v>20250106</v>
      </c>
      <c r="B16" t="s">
        <v>7</v>
      </c>
      <c r="C16" t="s">
        <v>8</v>
      </c>
      <c r="D16">
        <v>4</v>
      </c>
      <c r="E16">
        <v>1</v>
      </c>
      <c r="F16">
        <v>0</v>
      </c>
      <c r="G16">
        <v>0</v>
      </c>
      <c r="H16" s="1">
        <f t="shared" si="0"/>
        <v>45663</v>
      </c>
      <c r="I16">
        <f t="shared" si="1"/>
        <v>2</v>
      </c>
    </row>
    <row r="17" spans="1:9" x14ac:dyDescent="0.2">
      <c r="A17">
        <v>20250106</v>
      </c>
      <c r="B17" t="s">
        <v>14</v>
      </c>
      <c r="C17" t="s">
        <v>15</v>
      </c>
      <c r="D17">
        <v>3</v>
      </c>
      <c r="E17">
        <v>45</v>
      </c>
      <c r="F17">
        <v>0</v>
      </c>
      <c r="G17">
        <v>2</v>
      </c>
      <c r="H17" s="1">
        <f t="shared" si="0"/>
        <v>45663</v>
      </c>
      <c r="I17">
        <f t="shared" si="1"/>
        <v>2</v>
      </c>
    </row>
    <row r="18" spans="1:9" x14ac:dyDescent="0.2">
      <c r="A18">
        <v>20250107</v>
      </c>
      <c r="B18" t="s">
        <v>7</v>
      </c>
      <c r="C18" t="s">
        <v>8</v>
      </c>
      <c r="D18">
        <v>3</v>
      </c>
      <c r="E18">
        <v>1.3333333333333299</v>
      </c>
      <c r="F18">
        <v>0</v>
      </c>
      <c r="G18">
        <v>0</v>
      </c>
      <c r="H18" s="1">
        <f t="shared" si="0"/>
        <v>45664</v>
      </c>
      <c r="I18">
        <f t="shared" si="1"/>
        <v>2</v>
      </c>
    </row>
    <row r="19" spans="1:9" x14ac:dyDescent="0.2">
      <c r="A19">
        <v>20250107</v>
      </c>
      <c r="B19" t="s">
        <v>9</v>
      </c>
      <c r="C19" t="s">
        <v>18</v>
      </c>
      <c r="D19">
        <v>1</v>
      </c>
      <c r="E19">
        <v>2</v>
      </c>
      <c r="F19">
        <v>0</v>
      </c>
      <c r="G19">
        <v>0</v>
      </c>
      <c r="H19" s="1">
        <f t="shared" si="0"/>
        <v>45664</v>
      </c>
      <c r="I19">
        <f t="shared" si="1"/>
        <v>2</v>
      </c>
    </row>
    <row r="20" spans="1:9" x14ac:dyDescent="0.2">
      <c r="A20">
        <v>20250107</v>
      </c>
      <c r="B20" t="s">
        <v>10</v>
      </c>
      <c r="C20" t="s">
        <v>22</v>
      </c>
      <c r="D20">
        <v>1</v>
      </c>
      <c r="E20">
        <v>37</v>
      </c>
      <c r="F20">
        <v>0</v>
      </c>
      <c r="G20">
        <v>0</v>
      </c>
      <c r="H20" s="1">
        <f t="shared" si="0"/>
        <v>45664</v>
      </c>
      <c r="I20">
        <f t="shared" si="1"/>
        <v>2</v>
      </c>
    </row>
    <row r="21" spans="1:9" x14ac:dyDescent="0.2">
      <c r="A21">
        <v>20250108</v>
      </c>
      <c r="B21" t="s">
        <v>16</v>
      </c>
      <c r="C21" t="s">
        <v>8</v>
      </c>
      <c r="D21">
        <v>2</v>
      </c>
      <c r="E21">
        <v>1</v>
      </c>
      <c r="F21">
        <v>0</v>
      </c>
      <c r="G21">
        <v>0</v>
      </c>
      <c r="H21" s="1">
        <f t="shared" si="0"/>
        <v>45665</v>
      </c>
      <c r="I21">
        <f t="shared" si="1"/>
        <v>2</v>
      </c>
    </row>
    <row r="22" spans="1:9" x14ac:dyDescent="0.2">
      <c r="A22">
        <v>20250108</v>
      </c>
      <c r="B22" t="s">
        <v>10</v>
      </c>
      <c r="C22" t="s">
        <v>8</v>
      </c>
      <c r="D22">
        <v>1</v>
      </c>
      <c r="E22">
        <v>9</v>
      </c>
      <c r="F22">
        <v>0</v>
      </c>
      <c r="G22">
        <v>0</v>
      </c>
      <c r="H22" s="1">
        <f t="shared" si="0"/>
        <v>45665</v>
      </c>
      <c r="I22">
        <f t="shared" si="1"/>
        <v>2</v>
      </c>
    </row>
    <row r="23" spans="1:9" x14ac:dyDescent="0.2">
      <c r="A23">
        <v>20250109</v>
      </c>
      <c r="B23" t="s">
        <v>14</v>
      </c>
      <c r="C23" t="s">
        <v>13</v>
      </c>
      <c r="D23">
        <v>1</v>
      </c>
      <c r="E23">
        <v>12</v>
      </c>
      <c r="F23">
        <v>0</v>
      </c>
      <c r="G23">
        <v>0</v>
      </c>
      <c r="H23" s="1">
        <f t="shared" si="0"/>
        <v>45666</v>
      </c>
      <c r="I23">
        <f t="shared" si="1"/>
        <v>2</v>
      </c>
    </row>
    <row r="24" spans="1:9" x14ac:dyDescent="0.2">
      <c r="A24">
        <v>20250109</v>
      </c>
      <c r="B24" t="s">
        <v>10</v>
      </c>
      <c r="C24" t="s">
        <v>8</v>
      </c>
      <c r="D24">
        <v>5</v>
      </c>
      <c r="E24">
        <v>35</v>
      </c>
      <c r="F24">
        <v>0</v>
      </c>
      <c r="G24">
        <v>0</v>
      </c>
      <c r="H24" s="1">
        <f t="shared" si="0"/>
        <v>45666</v>
      </c>
      <c r="I24">
        <f t="shared" si="1"/>
        <v>2</v>
      </c>
    </row>
    <row r="25" spans="1:9" x14ac:dyDescent="0.2">
      <c r="A25">
        <v>20250110</v>
      </c>
      <c r="B25" t="s">
        <v>7</v>
      </c>
      <c r="C25" t="s">
        <v>8</v>
      </c>
      <c r="D25">
        <v>2</v>
      </c>
      <c r="E25">
        <v>2</v>
      </c>
      <c r="F25">
        <v>0</v>
      </c>
      <c r="G25">
        <v>0</v>
      </c>
      <c r="H25" s="1">
        <f t="shared" si="0"/>
        <v>45667</v>
      </c>
      <c r="I25">
        <f t="shared" si="1"/>
        <v>2</v>
      </c>
    </row>
    <row r="26" spans="1:9" x14ac:dyDescent="0.2">
      <c r="A26">
        <v>20250111</v>
      </c>
      <c r="B26" t="s">
        <v>7</v>
      </c>
      <c r="C26" t="s">
        <v>8</v>
      </c>
      <c r="D26">
        <v>1</v>
      </c>
      <c r="E26">
        <v>36</v>
      </c>
      <c r="F26">
        <v>0</v>
      </c>
      <c r="G26">
        <v>0</v>
      </c>
      <c r="H26" s="1">
        <f t="shared" si="0"/>
        <v>45668</v>
      </c>
      <c r="I26">
        <f t="shared" si="1"/>
        <v>2</v>
      </c>
    </row>
    <row r="27" spans="1:9" x14ac:dyDescent="0.2">
      <c r="A27">
        <v>20250112</v>
      </c>
      <c r="B27" t="s">
        <v>7</v>
      </c>
      <c r="C27" t="s">
        <v>8</v>
      </c>
      <c r="D27">
        <v>1</v>
      </c>
      <c r="E27">
        <v>24</v>
      </c>
      <c r="F27">
        <v>0</v>
      </c>
      <c r="G27">
        <v>0</v>
      </c>
      <c r="H27" s="1">
        <f t="shared" si="0"/>
        <v>45669</v>
      </c>
      <c r="I27">
        <f t="shared" si="1"/>
        <v>3</v>
      </c>
    </row>
    <row r="28" spans="1:9" x14ac:dyDescent="0.2">
      <c r="A28">
        <v>20250113</v>
      </c>
      <c r="B28" t="s">
        <v>7</v>
      </c>
      <c r="C28" t="s">
        <v>13</v>
      </c>
      <c r="D28">
        <v>2</v>
      </c>
      <c r="E28">
        <v>1</v>
      </c>
      <c r="F28">
        <v>0</v>
      </c>
      <c r="G28">
        <v>0</v>
      </c>
      <c r="H28" s="1">
        <f t="shared" si="0"/>
        <v>45670</v>
      </c>
      <c r="I28">
        <f t="shared" si="1"/>
        <v>3</v>
      </c>
    </row>
    <row r="29" spans="1:9" x14ac:dyDescent="0.2">
      <c r="A29">
        <v>20250113</v>
      </c>
      <c r="B29" t="s">
        <v>9</v>
      </c>
      <c r="C29" t="s">
        <v>8</v>
      </c>
      <c r="D29">
        <v>4</v>
      </c>
      <c r="E29">
        <v>17.25</v>
      </c>
      <c r="F29">
        <v>0</v>
      </c>
      <c r="G29">
        <v>0</v>
      </c>
      <c r="H29" s="1">
        <f t="shared" si="0"/>
        <v>45670</v>
      </c>
      <c r="I29">
        <f t="shared" si="1"/>
        <v>3</v>
      </c>
    </row>
    <row r="30" spans="1:9" x14ac:dyDescent="0.2">
      <c r="A30">
        <v>20250114</v>
      </c>
      <c r="B30" t="s">
        <v>16</v>
      </c>
      <c r="C30" t="s">
        <v>22</v>
      </c>
      <c r="D30">
        <v>1</v>
      </c>
      <c r="E30">
        <v>72</v>
      </c>
      <c r="F30">
        <v>0</v>
      </c>
      <c r="G30">
        <v>0</v>
      </c>
      <c r="H30" s="1">
        <f t="shared" si="0"/>
        <v>45671</v>
      </c>
      <c r="I30">
        <f t="shared" si="1"/>
        <v>3</v>
      </c>
    </row>
    <row r="31" spans="1:9" x14ac:dyDescent="0.2">
      <c r="A31">
        <v>20250114</v>
      </c>
      <c r="B31" t="s">
        <v>7</v>
      </c>
      <c r="C31" t="s">
        <v>15</v>
      </c>
      <c r="D31">
        <v>1</v>
      </c>
      <c r="E31">
        <v>1</v>
      </c>
      <c r="F31">
        <v>0</v>
      </c>
      <c r="G31">
        <v>0</v>
      </c>
      <c r="H31" s="1">
        <f t="shared" si="0"/>
        <v>45671</v>
      </c>
      <c r="I31">
        <f t="shared" si="1"/>
        <v>3</v>
      </c>
    </row>
    <row r="32" spans="1:9" x14ac:dyDescent="0.2">
      <c r="A32">
        <v>20250114</v>
      </c>
      <c r="B32" t="s">
        <v>23</v>
      </c>
      <c r="C32" t="s">
        <v>13</v>
      </c>
      <c r="D32">
        <v>4</v>
      </c>
      <c r="E32">
        <v>1</v>
      </c>
      <c r="F32">
        <v>0</v>
      </c>
      <c r="G32">
        <v>0</v>
      </c>
      <c r="H32" s="1">
        <f t="shared" si="0"/>
        <v>45671</v>
      </c>
      <c r="I32">
        <f t="shared" si="1"/>
        <v>3</v>
      </c>
    </row>
    <row r="33" spans="1:9" x14ac:dyDescent="0.2">
      <c r="A33">
        <v>20250114</v>
      </c>
      <c r="B33" t="s">
        <v>10</v>
      </c>
      <c r="C33" t="s">
        <v>8</v>
      </c>
      <c r="D33">
        <v>2</v>
      </c>
      <c r="E33">
        <v>20</v>
      </c>
      <c r="F33">
        <v>0</v>
      </c>
      <c r="G33">
        <v>0</v>
      </c>
      <c r="H33" s="1">
        <f t="shared" si="0"/>
        <v>45671</v>
      </c>
      <c r="I33">
        <f t="shared" si="1"/>
        <v>3</v>
      </c>
    </row>
    <row r="34" spans="1:9" x14ac:dyDescent="0.2">
      <c r="A34">
        <v>20250117</v>
      </c>
      <c r="B34" t="s">
        <v>23</v>
      </c>
      <c r="C34" t="s">
        <v>8</v>
      </c>
      <c r="D34">
        <v>1</v>
      </c>
      <c r="E34">
        <v>18</v>
      </c>
      <c r="F34">
        <v>0</v>
      </c>
      <c r="G34">
        <v>0</v>
      </c>
      <c r="H34" s="1">
        <f t="shared" si="0"/>
        <v>45674</v>
      </c>
      <c r="I34">
        <f t="shared" si="1"/>
        <v>3</v>
      </c>
    </row>
    <row r="35" spans="1:9" x14ac:dyDescent="0.2">
      <c r="A35">
        <v>20250117</v>
      </c>
      <c r="B35" t="s">
        <v>10</v>
      </c>
      <c r="C35" t="s">
        <v>8</v>
      </c>
      <c r="D35">
        <v>1</v>
      </c>
      <c r="E35">
        <v>47</v>
      </c>
      <c r="F35">
        <v>0</v>
      </c>
      <c r="G35">
        <v>0</v>
      </c>
      <c r="H35" s="1">
        <f t="shared" si="0"/>
        <v>45674</v>
      </c>
      <c r="I35">
        <f t="shared" si="1"/>
        <v>3</v>
      </c>
    </row>
    <row r="36" spans="1:9" x14ac:dyDescent="0.2">
      <c r="A36">
        <v>20250118</v>
      </c>
      <c r="B36" t="s">
        <v>19</v>
      </c>
      <c r="C36" t="s">
        <v>13</v>
      </c>
      <c r="D36">
        <v>1</v>
      </c>
      <c r="E36">
        <v>85</v>
      </c>
      <c r="F36">
        <v>0</v>
      </c>
      <c r="G36">
        <v>0</v>
      </c>
      <c r="H36" s="1">
        <f t="shared" si="0"/>
        <v>45675</v>
      </c>
      <c r="I36">
        <f t="shared" si="1"/>
        <v>3</v>
      </c>
    </row>
    <row r="37" spans="1:9" x14ac:dyDescent="0.2">
      <c r="A37">
        <v>20250118</v>
      </c>
      <c r="B37" t="s">
        <v>9</v>
      </c>
      <c r="C37" t="s">
        <v>22</v>
      </c>
      <c r="D37">
        <v>1</v>
      </c>
      <c r="E37">
        <v>80</v>
      </c>
      <c r="F37">
        <v>0</v>
      </c>
      <c r="G37">
        <v>0</v>
      </c>
      <c r="H37" s="1">
        <f t="shared" si="0"/>
        <v>45675</v>
      </c>
      <c r="I37">
        <f t="shared" si="1"/>
        <v>3</v>
      </c>
    </row>
    <row r="38" spans="1:9" x14ac:dyDescent="0.2">
      <c r="A38">
        <v>20250118</v>
      </c>
      <c r="B38" t="s">
        <v>9</v>
      </c>
      <c r="C38" t="s">
        <v>24</v>
      </c>
      <c r="D38">
        <v>1</v>
      </c>
      <c r="E38">
        <v>27</v>
      </c>
      <c r="F38">
        <v>0</v>
      </c>
      <c r="G38">
        <v>0</v>
      </c>
      <c r="H38" s="1">
        <f t="shared" si="0"/>
        <v>45675</v>
      </c>
      <c r="I38">
        <f t="shared" si="1"/>
        <v>3</v>
      </c>
    </row>
    <row r="39" spans="1:9" x14ac:dyDescent="0.2">
      <c r="A39">
        <v>20250118</v>
      </c>
      <c r="B39" t="s">
        <v>10</v>
      </c>
      <c r="C39" t="s">
        <v>25</v>
      </c>
      <c r="D39">
        <v>2</v>
      </c>
      <c r="E39">
        <v>47</v>
      </c>
      <c r="F39">
        <v>0</v>
      </c>
      <c r="G39">
        <v>0</v>
      </c>
      <c r="H39" s="1">
        <f t="shared" si="0"/>
        <v>45675</v>
      </c>
      <c r="I39">
        <f t="shared" si="1"/>
        <v>3</v>
      </c>
    </row>
    <row r="40" spans="1:9" x14ac:dyDescent="0.2">
      <c r="A40">
        <v>20250118</v>
      </c>
      <c r="B40" t="s">
        <v>10</v>
      </c>
      <c r="C40" t="s">
        <v>8</v>
      </c>
      <c r="D40">
        <v>1</v>
      </c>
      <c r="E40">
        <v>11</v>
      </c>
      <c r="F40">
        <v>0</v>
      </c>
      <c r="G40">
        <v>0</v>
      </c>
      <c r="H40" s="1">
        <f t="shared" si="0"/>
        <v>45675</v>
      </c>
      <c r="I40">
        <f t="shared" si="1"/>
        <v>3</v>
      </c>
    </row>
    <row r="41" spans="1:9" x14ac:dyDescent="0.2">
      <c r="A41">
        <v>20250118</v>
      </c>
      <c r="B41" t="s">
        <v>10</v>
      </c>
      <c r="C41" t="s">
        <v>18</v>
      </c>
      <c r="D41">
        <v>1</v>
      </c>
      <c r="E41">
        <v>2</v>
      </c>
      <c r="F41">
        <v>0</v>
      </c>
      <c r="G41">
        <v>0</v>
      </c>
      <c r="H41" s="1">
        <f t="shared" si="0"/>
        <v>45675</v>
      </c>
      <c r="I41">
        <f t="shared" si="1"/>
        <v>3</v>
      </c>
    </row>
    <row r="42" spans="1:9" x14ac:dyDescent="0.2">
      <c r="A42">
        <v>20250119</v>
      </c>
      <c r="B42" t="s">
        <v>12</v>
      </c>
      <c r="C42" t="s">
        <v>8</v>
      </c>
      <c r="D42">
        <v>1</v>
      </c>
      <c r="E42">
        <v>26</v>
      </c>
      <c r="F42">
        <v>0</v>
      </c>
      <c r="G42">
        <v>0</v>
      </c>
      <c r="H42" s="1">
        <f t="shared" si="0"/>
        <v>45676</v>
      </c>
      <c r="I42">
        <f t="shared" si="1"/>
        <v>4</v>
      </c>
    </row>
    <row r="43" spans="1:9" x14ac:dyDescent="0.2">
      <c r="A43">
        <v>20250119</v>
      </c>
      <c r="B43" t="s">
        <v>16</v>
      </c>
      <c r="C43" t="s">
        <v>8</v>
      </c>
      <c r="D43">
        <v>1</v>
      </c>
      <c r="E43">
        <v>1</v>
      </c>
      <c r="F43">
        <v>0</v>
      </c>
      <c r="G43">
        <v>0</v>
      </c>
      <c r="H43" s="1">
        <f t="shared" si="0"/>
        <v>45676</v>
      </c>
      <c r="I43">
        <f t="shared" si="1"/>
        <v>4</v>
      </c>
    </row>
    <row r="44" spans="1:9" x14ac:dyDescent="0.2">
      <c r="A44">
        <v>20250119</v>
      </c>
      <c r="B44" t="s">
        <v>10</v>
      </c>
      <c r="C44" t="s">
        <v>8</v>
      </c>
      <c r="D44">
        <v>2</v>
      </c>
      <c r="E44">
        <v>11.5</v>
      </c>
      <c r="F44">
        <v>0</v>
      </c>
      <c r="G44">
        <v>0</v>
      </c>
      <c r="H44" s="1">
        <f t="shared" si="0"/>
        <v>45676</v>
      </c>
      <c r="I44">
        <f t="shared" si="1"/>
        <v>4</v>
      </c>
    </row>
    <row r="45" spans="1:9" x14ac:dyDescent="0.2">
      <c r="A45">
        <v>20250119</v>
      </c>
      <c r="B45" t="s">
        <v>10</v>
      </c>
      <c r="C45" t="s">
        <v>17</v>
      </c>
      <c r="D45">
        <v>1</v>
      </c>
      <c r="E45">
        <v>35</v>
      </c>
      <c r="F45">
        <v>0</v>
      </c>
      <c r="G45">
        <v>0</v>
      </c>
      <c r="H45" s="1">
        <f t="shared" si="0"/>
        <v>45676</v>
      </c>
      <c r="I45">
        <f t="shared" si="1"/>
        <v>4</v>
      </c>
    </row>
    <row r="46" spans="1:9" x14ac:dyDescent="0.2">
      <c r="A46">
        <v>20250119</v>
      </c>
      <c r="B46" t="s">
        <v>10</v>
      </c>
      <c r="C46" t="s">
        <v>32</v>
      </c>
      <c r="D46">
        <v>1</v>
      </c>
      <c r="E46">
        <v>13</v>
      </c>
      <c r="F46">
        <v>0</v>
      </c>
      <c r="G46">
        <v>0</v>
      </c>
      <c r="H46" s="1">
        <f t="shared" si="0"/>
        <v>45676</v>
      </c>
      <c r="I46">
        <f t="shared" si="1"/>
        <v>4</v>
      </c>
    </row>
    <row r="47" spans="1:9" x14ac:dyDescent="0.2">
      <c r="A47">
        <v>20250120</v>
      </c>
      <c r="B47" t="s">
        <v>16</v>
      </c>
      <c r="C47" t="s">
        <v>8</v>
      </c>
      <c r="D47">
        <v>1</v>
      </c>
      <c r="E47">
        <v>16</v>
      </c>
      <c r="F47">
        <v>0</v>
      </c>
      <c r="G47">
        <v>0</v>
      </c>
      <c r="H47" s="1">
        <f t="shared" si="0"/>
        <v>45677</v>
      </c>
      <c r="I47">
        <f t="shared" si="1"/>
        <v>4</v>
      </c>
    </row>
    <row r="48" spans="1:9" x14ac:dyDescent="0.2">
      <c r="A48">
        <v>20250120</v>
      </c>
      <c r="B48" t="s">
        <v>16</v>
      </c>
      <c r="C48" t="s">
        <v>13</v>
      </c>
      <c r="D48">
        <v>1</v>
      </c>
      <c r="E48">
        <v>1</v>
      </c>
      <c r="F48">
        <v>0</v>
      </c>
      <c r="G48">
        <v>0</v>
      </c>
      <c r="H48" s="1">
        <f t="shared" si="0"/>
        <v>45677</v>
      </c>
      <c r="I48">
        <f t="shared" si="1"/>
        <v>4</v>
      </c>
    </row>
    <row r="49" spans="1:9" x14ac:dyDescent="0.2">
      <c r="A49">
        <v>20250120</v>
      </c>
      <c r="B49" t="s">
        <v>7</v>
      </c>
      <c r="C49" t="s">
        <v>8</v>
      </c>
      <c r="D49">
        <v>2</v>
      </c>
      <c r="E49">
        <v>1.5</v>
      </c>
      <c r="F49">
        <v>0</v>
      </c>
      <c r="G49">
        <v>0</v>
      </c>
      <c r="H49" s="1">
        <f t="shared" si="0"/>
        <v>45677</v>
      </c>
      <c r="I49">
        <f t="shared" si="1"/>
        <v>4</v>
      </c>
    </row>
    <row r="50" spans="1:9" x14ac:dyDescent="0.2">
      <c r="A50">
        <v>20250120</v>
      </c>
      <c r="B50" t="s">
        <v>23</v>
      </c>
      <c r="C50" t="s">
        <v>8</v>
      </c>
      <c r="D50">
        <v>1</v>
      </c>
      <c r="E50">
        <v>12</v>
      </c>
      <c r="F50">
        <v>0</v>
      </c>
      <c r="G50">
        <v>0</v>
      </c>
      <c r="H50" s="1">
        <f t="shared" si="0"/>
        <v>45677</v>
      </c>
      <c r="I50">
        <f t="shared" si="1"/>
        <v>4</v>
      </c>
    </row>
    <row r="51" spans="1:9" x14ac:dyDescent="0.2">
      <c r="A51">
        <v>20250120</v>
      </c>
      <c r="B51" t="s">
        <v>9</v>
      </c>
      <c r="C51" t="s">
        <v>13</v>
      </c>
      <c r="D51">
        <v>1</v>
      </c>
      <c r="E51">
        <v>1</v>
      </c>
      <c r="F51">
        <v>0</v>
      </c>
      <c r="G51">
        <v>0</v>
      </c>
      <c r="H51" s="1">
        <f t="shared" si="0"/>
        <v>45677</v>
      </c>
      <c r="I51">
        <f t="shared" si="1"/>
        <v>4</v>
      </c>
    </row>
    <row r="52" spans="1:9" x14ac:dyDescent="0.2">
      <c r="A52">
        <v>20250120</v>
      </c>
      <c r="B52" t="s">
        <v>10</v>
      </c>
      <c r="C52" t="s">
        <v>13</v>
      </c>
      <c r="D52">
        <v>1</v>
      </c>
      <c r="E52">
        <v>1</v>
      </c>
      <c r="F52">
        <v>0</v>
      </c>
      <c r="G52">
        <v>5</v>
      </c>
      <c r="H52" s="1">
        <f t="shared" si="0"/>
        <v>45677</v>
      </c>
      <c r="I52">
        <f t="shared" si="1"/>
        <v>4</v>
      </c>
    </row>
    <row r="53" spans="1:9" x14ac:dyDescent="0.2">
      <c r="A53">
        <v>20250121</v>
      </c>
      <c r="B53" t="s">
        <v>16</v>
      </c>
      <c r="C53" t="s">
        <v>8</v>
      </c>
      <c r="D53">
        <v>1</v>
      </c>
      <c r="E53">
        <v>24</v>
      </c>
      <c r="F53">
        <v>0</v>
      </c>
      <c r="G53">
        <v>0</v>
      </c>
      <c r="H53" s="1">
        <f t="shared" si="0"/>
        <v>45678</v>
      </c>
      <c r="I53">
        <f t="shared" si="1"/>
        <v>4</v>
      </c>
    </row>
    <row r="54" spans="1:9" x14ac:dyDescent="0.2">
      <c r="A54">
        <v>20250121</v>
      </c>
      <c r="B54" t="s">
        <v>10</v>
      </c>
      <c r="C54" t="s">
        <v>8</v>
      </c>
      <c r="D54">
        <v>1</v>
      </c>
      <c r="E54">
        <v>15</v>
      </c>
      <c r="F54">
        <v>0</v>
      </c>
      <c r="G54">
        <v>0</v>
      </c>
      <c r="H54" s="1">
        <f t="shared" si="0"/>
        <v>45678</v>
      </c>
      <c r="I54">
        <f t="shared" si="1"/>
        <v>4</v>
      </c>
    </row>
    <row r="55" spans="1:9" x14ac:dyDescent="0.2">
      <c r="A55">
        <v>20250122</v>
      </c>
      <c r="B55" t="s">
        <v>16</v>
      </c>
      <c r="C55" t="s">
        <v>13</v>
      </c>
      <c r="D55">
        <v>1</v>
      </c>
      <c r="E55">
        <v>37</v>
      </c>
      <c r="F55">
        <v>0</v>
      </c>
      <c r="G55">
        <v>0</v>
      </c>
      <c r="H55" s="1">
        <f t="shared" si="0"/>
        <v>45679</v>
      </c>
      <c r="I55">
        <f t="shared" si="1"/>
        <v>4</v>
      </c>
    </row>
    <row r="56" spans="1:9" x14ac:dyDescent="0.2">
      <c r="A56">
        <v>20250122</v>
      </c>
      <c r="B56" t="s">
        <v>7</v>
      </c>
      <c r="C56" t="s">
        <v>8</v>
      </c>
      <c r="D56">
        <v>1</v>
      </c>
      <c r="E56">
        <v>71</v>
      </c>
      <c r="F56">
        <v>0</v>
      </c>
      <c r="G56">
        <v>1</v>
      </c>
      <c r="H56" s="1">
        <f t="shared" si="0"/>
        <v>45679</v>
      </c>
      <c r="I56">
        <f t="shared" si="1"/>
        <v>4</v>
      </c>
    </row>
    <row r="57" spans="1:9" x14ac:dyDescent="0.2">
      <c r="A57">
        <v>20250123</v>
      </c>
      <c r="B57" t="s">
        <v>7</v>
      </c>
      <c r="C57" t="s">
        <v>17</v>
      </c>
      <c r="D57">
        <v>3</v>
      </c>
      <c r="E57">
        <v>1</v>
      </c>
      <c r="F57">
        <v>0</v>
      </c>
      <c r="G57">
        <v>0</v>
      </c>
      <c r="H57" s="1">
        <f t="shared" si="0"/>
        <v>45680</v>
      </c>
      <c r="I57">
        <f t="shared" si="1"/>
        <v>4</v>
      </c>
    </row>
    <row r="58" spans="1:9" x14ac:dyDescent="0.2">
      <c r="A58">
        <v>20250123</v>
      </c>
      <c r="B58" t="s">
        <v>9</v>
      </c>
      <c r="C58" t="s">
        <v>15</v>
      </c>
      <c r="D58">
        <v>2</v>
      </c>
      <c r="E58">
        <v>1</v>
      </c>
      <c r="F58">
        <v>0</v>
      </c>
      <c r="G58">
        <v>0</v>
      </c>
      <c r="H58" s="1">
        <f t="shared" si="0"/>
        <v>45680</v>
      </c>
      <c r="I58">
        <f t="shared" si="1"/>
        <v>4</v>
      </c>
    </row>
    <row r="59" spans="1:9" x14ac:dyDescent="0.2">
      <c r="A59">
        <v>20250124</v>
      </c>
      <c r="B59" t="s">
        <v>30</v>
      </c>
      <c r="C59" t="s">
        <v>28</v>
      </c>
      <c r="D59">
        <v>1</v>
      </c>
      <c r="E59">
        <v>43</v>
      </c>
      <c r="F59">
        <v>0</v>
      </c>
      <c r="G59">
        <v>0</v>
      </c>
      <c r="H59" s="1">
        <f t="shared" si="0"/>
        <v>45681</v>
      </c>
      <c r="I59">
        <f t="shared" si="1"/>
        <v>4</v>
      </c>
    </row>
    <row r="60" spans="1:9" x14ac:dyDescent="0.2">
      <c r="A60">
        <v>20250125</v>
      </c>
      <c r="B60" t="s">
        <v>10</v>
      </c>
      <c r="C60" t="s">
        <v>8</v>
      </c>
      <c r="D60">
        <v>1</v>
      </c>
      <c r="E60">
        <v>32</v>
      </c>
      <c r="F60">
        <v>0</v>
      </c>
      <c r="G60">
        <v>0</v>
      </c>
      <c r="H60" s="1">
        <f t="shared" si="0"/>
        <v>45682</v>
      </c>
      <c r="I60">
        <f t="shared" si="1"/>
        <v>4</v>
      </c>
    </row>
    <row r="61" spans="1:9" x14ac:dyDescent="0.2">
      <c r="A61">
        <v>20250126</v>
      </c>
      <c r="B61" t="s">
        <v>7</v>
      </c>
      <c r="C61" t="s">
        <v>13</v>
      </c>
      <c r="D61">
        <v>8</v>
      </c>
      <c r="E61">
        <v>1</v>
      </c>
      <c r="F61">
        <v>0</v>
      </c>
      <c r="G61">
        <v>3</v>
      </c>
      <c r="H61" s="1">
        <f t="shared" si="0"/>
        <v>45683</v>
      </c>
      <c r="I61">
        <f t="shared" si="1"/>
        <v>5</v>
      </c>
    </row>
    <row r="62" spans="1:9" x14ac:dyDescent="0.2">
      <c r="A62">
        <v>20250126</v>
      </c>
      <c r="B62" t="s">
        <v>7</v>
      </c>
      <c r="C62" t="s">
        <v>8</v>
      </c>
      <c r="D62">
        <v>2</v>
      </c>
      <c r="E62">
        <v>16.5</v>
      </c>
      <c r="F62">
        <v>0</v>
      </c>
      <c r="G62">
        <v>0</v>
      </c>
      <c r="H62" s="1">
        <f t="shared" si="0"/>
        <v>45683</v>
      </c>
      <c r="I62">
        <f t="shared" si="1"/>
        <v>5</v>
      </c>
    </row>
    <row r="63" spans="1:9" x14ac:dyDescent="0.2">
      <c r="A63">
        <v>20250126</v>
      </c>
      <c r="B63" t="s">
        <v>9</v>
      </c>
      <c r="C63" t="s">
        <v>8</v>
      </c>
      <c r="D63">
        <v>2</v>
      </c>
      <c r="E63">
        <v>1</v>
      </c>
      <c r="F63">
        <v>0</v>
      </c>
      <c r="G63">
        <v>0</v>
      </c>
      <c r="H63" s="1">
        <f t="shared" si="0"/>
        <v>45683</v>
      </c>
      <c r="I63">
        <f t="shared" si="1"/>
        <v>5</v>
      </c>
    </row>
    <row r="64" spans="1:9" x14ac:dyDescent="0.2">
      <c r="A64">
        <v>20250126</v>
      </c>
      <c r="B64" t="s">
        <v>10</v>
      </c>
      <c r="C64" t="s">
        <v>22</v>
      </c>
      <c r="D64">
        <v>1</v>
      </c>
      <c r="E64">
        <v>14</v>
      </c>
      <c r="F64">
        <v>0</v>
      </c>
      <c r="G64">
        <v>0</v>
      </c>
      <c r="H64" s="1">
        <f t="shared" si="0"/>
        <v>45683</v>
      </c>
      <c r="I64">
        <f t="shared" si="1"/>
        <v>5</v>
      </c>
    </row>
    <row r="65" spans="1:9" x14ac:dyDescent="0.2">
      <c r="A65">
        <v>20250126</v>
      </c>
      <c r="B65" t="s">
        <v>10</v>
      </c>
      <c r="C65" t="s">
        <v>8</v>
      </c>
      <c r="D65">
        <v>1</v>
      </c>
      <c r="E65">
        <v>32</v>
      </c>
      <c r="F65">
        <v>0</v>
      </c>
      <c r="G65">
        <v>0</v>
      </c>
      <c r="H65" s="1">
        <f t="shared" si="0"/>
        <v>45683</v>
      </c>
      <c r="I65">
        <f t="shared" si="1"/>
        <v>5</v>
      </c>
    </row>
    <row r="66" spans="1:9" x14ac:dyDescent="0.2">
      <c r="A66">
        <v>20250127</v>
      </c>
      <c r="B66" t="s">
        <v>16</v>
      </c>
      <c r="C66" t="s">
        <v>17</v>
      </c>
      <c r="D66">
        <v>5</v>
      </c>
      <c r="E66">
        <v>36</v>
      </c>
      <c r="F66">
        <v>0</v>
      </c>
      <c r="G66">
        <v>0</v>
      </c>
      <c r="H66" s="1">
        <f t="shared" ref="H66:H129" si="3">DATE(LEFT(A66,4),MID(A66,5,2),RIGHT(A66,2))</f>
        <v>45684</v>
      </c>
      <c r="I66">
        <f t="shared" ref="I66:I129" si="4">WEEKNUM(H66)</f>
        <v>5</v>
      </c>
    </row>
    <row r="67" spans="1:9" x14ac:dyDescent="0.2">
      <c r="A67">
        <v>20250127</v>
      </c>
      <c r="B67" t="s">
        <v>9</v>
      </c>
      <c r="C67" t="s">
        <v>8</v>
      </c>
      <c r="D67">
        <v>2</v>
      </c>
      <c r="E67">
        <v>1</v>
      </c>
      <c r="F67">
        <v>0</v>
      </c>
      <c r="G67">
        <v>0</v>
      </c>
      <c r="H67" s="1">
        <f t="shared" si="3"/>
        <v>45684</v>
      </c>
      <c r="I67">
        <f t="shared" si="4"/>
        <v>5</v>
      </c>
    </row>
    <row r="68" spans="1:9" x14ac:dyDescent="0.2">
      <c r="A68">
        <v>20250129</v>
      </c>
      <c r="B68" t="s">
        <v>7</v>
      </c>
      <c r="C68" t="s">
        <v>8</v>
      </c>
      <c r="D68">
        <v>2</v>
      </c>
      <c r="E68">
        <v>1</v>
      </c>
      <c r="F68">
        <v>0</v>
      </c>
      <c r="G68">
        <v>1</v>
      </c>
      <c r="H68" s="1">
        <f t="shared" si="3"/>
        <v>45686</v>
      </c>
      <c r="I68">
        <f t="shared" si="4"/>
        <v>5</v>
      </c>
    </row>
    <row r="69" spans="1:9" x14ac:dyDescent="0.2">
      <c r="A69">
        <v>20250129</v>
      </c>
      <c r="B69" t="s">
        <v>10</v>
      </c>
      <c r="C69" t="s">
        <v>8</v>
      </c>
      <c r="D69">
        <v>1</v>
      </c>
      <c r="E69">
        <v>15</v>
      </c>
      <c r="F69">
        <v>0</v>
      </c>
      <c r="G69">
        <v>0</v>
      </c>
      <c r="H69" s="1">
        <f t="shared" si="3"/>
        <v>45686</v>
      </c>
      <c r="I69">
        <f t="shared" si="4"/>
        <v>5</v>
      </c>
    </row>
    <row r="70" spans="1:9" x14ac:dyDescent="0.2">
      <c r="A70">
        <v>20250130</v>
      </c>
      <c r="B70" t="s">
        <v>19</v>
      </c>
      <c r="C70" t="s">
        <v>8</v>
      </c>
      <c r="D70">
        <v>1</v>
      </c>
      <c r="E70">
        <v>15</v>
      </c>
      <c r="F70">
        <v>0</v>
      </c>
      <c r="G70">
        <v>0</v>
      </c>
      <c r="H70" s="1">
        <f t="shared" si="3"/>
        <v>45687</v>
      </c>
      <c r="I70">
        <f t="shared" si="4"/>
        <v>5</v>
      </c>
    </row>
    <row r="71" spans="1:9" x14ac:dyDescent="0.2">
      <c r="A71">
        <v>20250130</v>
      </c>
      <c r="B71" t="s">
        <v>16</v>
      </c>
      <c r="C71" t="s">
        <v>13</v>
      </c>
      <c r="D71">
        <v>2</v>
      </c>
      <c r="E71">
        <v>1</v>
      </c>
      <c r="F71">
        <v>0</v>
      </c>
      <c r="G71">
        <v>0</v>
      </c>
      <c r="H71" s="1">
        <f t="shared" si="3"/>
        <v>45687</v>
      </c>
      <c r="I71">
        <f t="shared" si="4"/>
        <v>5</v>
      </c>
    </row>
    <row r="72" spans="1:9" x14ac:dyDescent="0.2">
      <c r="A72">
        <v>20250130</v>
      </c>
      <c r="B72" t="s">
        <v>7</v>
      </c>
      <c r="C72" t="s">
        <v>8</v>
      </c>
      <c r="D72">
        <v>1</v>
      </c>
      <c r="E72">
        <v>1</v>
      </c>
      <c r="F72">
        <v>1</v>
      </c>
      <c r="G72">
        <v>1</v>
      </c>
      <c r="H72" s="1">
        <f t="shared" si="3"/>
        <v>45687</v>
      </c>
      <c r="I72">
        <f t="shared" si="4"/>
        <v>5</v>
      </c>
    </row>
    <row r="73" spans="1:9" x14ac:dyDescent="0.2">
      <c r="A73">
        <v>20250131</v>
      </c>
      <c r="B73" t="s">
        <v>12</v>
      </c>
      <c r="C73" t="s">
        <v>22</v>
      </c>
      <c r="D73">
        <v>1</v>
      </c>
      <c r="E73">
        <v>8</v>
      </c>
      <c r="F73">
        <v>0</v>
      </c>
      <c r="G73">
        <v>0</v>
      </c>
      <c r="H73" s="1">
        <f t="shared" si="3"/>
        <v>45688</v>
      </c>
      <c r="I73">
        <f t="shared" si="4"/>
        <v>5</v>
      </c>
    </row>
    <row r="74" spans="1:9" x14ac:dyDescent="0.2">
      <c r="A74">
        <v>20250131</v>
      </c>
      <c r="B74" t="s">
        <v>7</v>
      </c>
      <c r="C74" t="s">
        <v>17</v>
      </c>
      <c r="D74">
        <v>5</v>
      </c>
      <c r="E74">
        <v>1</v>
      </c>
      <c r="F74">
        <v>0</v>
      </c>
      <c r="G74">
        <v>7</v>
      </c>
      <c r="H74" s="1">
        <f t="shared" si="3"/>
        <v>45688</v>
      </c>
      <c r="I74">
        <f t="shared" si="4"/>
        <v>5</v>
      </c>
    </row>
    <row r="75" spans="1:9" x14ac:dyDescent="0.2">
      <c r="A75">
        <v>20250131</v>
      </c>
      <c r="B75" t="s">
        <v>7</v>
      </c>
      <c r="C75" t="s">
        <v>8</v>
      </c>
      <c r="D75">
        <v>3</v>
      </c>
      <c r="E75">
        <v>92</v>
      </c>
      <c r="F75">
        <v>0</v>
      </c>
      <c r="G75">
        <v>0</v>
      </c>
      <c r="H75" s="1">
        <f t="shared" si="3"/>
        <v>45688</v>
      </c>
      <c r="I75">
        <f t="shared" si="4"/>
        <v>5</v>
      </c>
    </row>
    <row r="76" spans="1:9" x14ac:dyDescent="0.2">
      <c r="A76">
        <v>20250131</v>
      </c>
      <c r="B76" t="s">
        <v>10</v>
      </c>
      <c r="C76" t="s">
        <v>8</v>
      </c>
      <c r="D76">
        <v>1</v>
      </c>
      <c r="E76">
        <v>40</v>
      </c>
      <c r="F76">
        <v>0</v>
      </c>
      <c r="G76">
        <v>0</v>
      </c>
      <c r="H76" s="1">
        <f t="shared" si="3"/>
        <v>45688</v>
      </c>
      <c r="I76">
        <f t="shared" si="4"/>
        <v>5</v>
      </c>
    </row>
    <row r="77" spans="1:9" x14ac:dyDescent="0.2">
      <c r="A77">
        <v>20250201</v>
      </c>
      <c r="B77" t="s">
        <v>19</v>
      </c>
      <c r="C77" t="s">
        <v>8</v>
      </c>
      <c r="D77">
        <v>1</v>
      </c>
      <c r="E77">
        <v>15</v>
      </c>
      <c r="F77">
        <v>0</v>
      </c>
      <c r="G77">
        <v>0</v>
      </c>
      <c r="H77" s="1">
        <f t="shared" si="3"/>
        <v>45689</v>
      </c>
      <c r="I77">
        <f t="shared" si="4"/>
        <v>5</v>
      </c>
    </row>
    <row r="78" spans="1:9" x14ac:dyDescent="0.2">
      <c r="A78">
        <v>20250201</v>
      </c>
      <c r="B78" t="s">
        <v>7</v>
      </c>
      <c r="C78" t="s">
        <v>8</v>
      </c>
      <c r="D78">
        <v>13</v>
      </c>
      <c r="E78">
        <v>45.230769230769198</v>
      </c>
      <c r="F78">
        <v>0</v>
      </c>
      <c r="G78">
        <v>0</v>
      </c>
      <c r="H78" s="1">
        <f t="shared" si="3"/>
        <v>45689</v>
      </c>
      <c r="I78">
        <f t="shared" si="4"/>
        <v>5</v>
      </c>
    </row>
    <row r="79" spans="1:9" x14ac:dyDescent="0.2">
      <c r="A79">
        <v>20250201</v>
      </c>
      <c r="B79" t="s">
        <v>10</v>
      </c>
      <c r="C79" t="s">
        <v>8</v>
      </c>
      <c r="D79">
        <v>1</v>
      </c>
      <c r="E79">
        <v>2</v>
      </c>
      <c r="F79">
        <v>0</v>
      </c>
      <c r="G79">
        <v>0</v>
      </c>
      <c r="H79" s="1">
        <f t="shared" si="3"/>
        <v>45689</v>
      </c>
      <c r="I79">
        <f t="shared" si="4"/>
        <v>5</v>
      </c>
    </row>
    <row r="80" spans="1:9" x14ac:dyDescent="0.2">
      <c r="A80">
        <v>20250201</v>
      </c>
      <c r="B80" t="s">
        <v>10</v>
      </c>
      <c r="C80" t="s">
        <v>24</v>
      </c>
      <c r="D80">
        <v>1</v>
      </c>
      <c r="E80">
        <v>25</v>
      </c>
      <c r="F80">
        <v>0</v>
      </c>
      <c r="G80">
        <v>0</v>
      </c>
      <c r="H80" s="1">
        <f t="shared" si="3"/>
        <v>45689</v>
      </c>
      <c r="I80">
        <f t="shared" si="4"/>
        <v>5</v>
      </c>
    </row>
    <row r="81" spans="1:9" x14ac:dyDescent="0.2">
      <c r="A81">
        <v>20250202</v>
      </c>
      <c r="B81" t="s">
        <v>16</v>
      </c>
      <c r="C81" t="s">
        <v>15</v>
      </c>
      <c r="D81">
        <v>1</v>
      </c>
      <c r="E81">
        <v>2</v>
      </c>
      <c r="F81">
        <v>0</v>
      </c>
      <c r="G81">
        <v>0</v>
      </c>
      <c r="H81" s="1">
        <f t="shared" si="3"/>
        <v>45690</v>
      </c>
      <c r="I81">
        <f t="shared" si="4"/>
        <v>6</v>
      </c>
    </row>
    <row r="82" spans="1:9" x14ac:dyDescent="0.2">
      <c r="A82">
        <v>20250202</v>
      </c>
      <c r="B82" t="s">
        <v>16</v>
      </c>
      <c r="C82" t="s">
        <v>8</v>
      </c>
      <c r="D82">
        <v>1</v>
      </c>
      <c r="E82">
        <v>32</v>
      </c>
      <c r="F82">
        <v>0</v>
      </c>
      <c r="G82">
        <v>0</v>
      </c>
      <c r="H82" s="1">
        <f t="shared" si="3"/>
        <v>45690</v>
      </c>
      <c r="I82">
        <f t="shared" si="4"/>
        <v>6</v>
      </c>
    </row>
    <row r="83" spans="1:9" x14ac:dyDescent="0.2">
      <c r="A83">
        <v>20250202</v>
      </c>
      <c r="B83" t="s">
        <v>7</v>
      </c>
      <c r="C83" t="s">
        <v>8</v>
      </c>
      <c r="D83">
        <v>2</v>
      </c>
      <c r="E83">
        <v>23.5</v>
      </c>
      <c r="F83">
        <v>0</v>
      </c>
      <c r="G83">
        <v>0</v>
      </c>
      <c r="H83" s="1">
        <f t="shared" si="3"/>
        <v>45690</v>
      </c>
      <c r="I83">
        <f t="shared" si="4"/>
        <v>6</v>
      </c>
    </row>
    <row r="84" spans="1:9" x14ac:dyDescent="0.2">
      <c r="A84">
        <v>20250203</v>
      </c>
      <c r="B84" t="s">
        <v>12</v>
      </c>
      <c r="C84" t="s">
        <v>8</v>
      </c>
      <c r="D84">
        <v>1</v>
      </c>
      <c r="E84">
        <v>1</v>
      </c>
      <c r="F84">
        <v>0</v>
      </c>
      <c r="G84">
        <v>0</v>
      </c>
      <c r="H84" s="1">
        <f t="shared" si="3"/>
        <v>45691</v>
      </c>
      <c r="I84">
        <f t="shared" si="4"/>
        <v>6</v>
      </c>
    </row>
    <row r="85" spans="1:9" x14ac:dyDescent="0.2">
      <c r="A85">
        <v>20250203</v>
      </c>
      <c r="B85" t="s">
        <v>7</v>
      </c>
      <c r="C85" t="s">
        <v>8</v>
      </c>
      <c r="D85">
        <v>3</v>
      </c>
      <c r="E85">
        <v>17</v>
      </c>
      <c r="F85">
        <v>0</v>
      </c>
      <c r="G85">
        <v>0</v>
      </c>
      <c r="H85" s="1">
        <f t="shared" si="3"/>
        <v>45691</v>
      </c>
      <c r="I85">
        <f t="shared" si="4"/>
        <v>6</v>
      </c>
    </row>
    <row r="86" spans="1:9" x14ac:dyDescent="0.2">
      <c r="A86">
        <v>20250204</v>
      </c>
      <c r="B86" t="s">
        <v>19</v>
      </c>
      <c r="C86" t="s">
        <v>8</v>
      </c>
      <c r="D86">
        <v>1</v>
      </c>
      <c r="E86">
        <v>21</v>
      </c>
      <c r="F86">
        <v>0</v>
      </c>
      <c r="G86">
        <v>0</v>
      </c>
      <c r="H86" s="1">
        <f t="shared" si="3"/>
        <v>45692</v>
      </c>
      <c r="I86">
        <f t="shared" si="4"/>
        <v>6</v>
      </c>
    </row>
    <row r="87" spans="1:9" x14ac:dyDescent="0.2">
      <c r="A87">
        <v>20250204</v>
      </c>
      <c r="B87" t="s">
        <v>7</v>
      </c>
      <c r="C87" t="s">
        <v>8</v>
      </c>
      <c r="D87">
        <v>7</v>
      </c>
      <c r="E87">
        <v>81.428571428571402</v>
      </c>
      <c r="F87">
        <v>0</v>
      </c>
      <c r="G87">
        <v>0</v>
      </c>
      <c r="H87" s="1">
        <f t="shared" si="3"/>
        <v>45692</v>
      </c>
      <c r="I87">
        <f t="shared" si="4"/>
        <v>6</v>
      </c>
    </row>
    <row r="88" spans="1:9" x14ac:dyDescent="0.2">
      <c r="A88">
        <v>20250204</v>
      </c>
      <c r="B88" t="s">
        <v>9</v>
      </c>
      <c r="C88" t="s">
        <v>8</v>
      </c>
      <c r="D88">
        <v>3</v>
      </c>
      <c r="E88">
        <v>64.6666666666666</v>
      </c>
      <c r="F88">
        <v>0</v>
      </c>
      <c r="G88">
        <v>0</v>
      </c>
      <c r="H88" s="1">
        <f t="shared" si="3"/>
        <v>45692</v>
      </c>
      <c r="I88">
        <f t="shared" si="4"/>
        <v>6</v>
      </c>
    </row>
    <row r="89" spans="1:9" x14ac:dyDescent="0.2">
      <c r="A89">
        <v>20250205</v>
      </c>
      <c r="B89" t="s">
        <v>7</v>
      </c>
      <c r="C89" t="s">
        <v>8</v>
      </c>
      <c r="D89">
        <v>3</v>
      </c>
      <c r="E89">
        <v>58</v>
      </c>
      <c r="F89">
        <v>0</v>
      </c>
      <c r="G89">
        <v>0</v>
      </c>
      <c r="H89" s="1">
        <f t="shared" si="3"/>
        <v>45693</v>
      </c>
      <c r="I89">
        <f t="shared" si="4"/>
        <v>6</v>
      </c>
    </row>
    <row r="90" spans="1:9" x14ac:dyDescent="0.2">
      <c r="A90">
        <v>20250205</v>
      </c>
      <c r="B90" t="s">
        <v>7</v>
      </c>
      <c r="C90" t="s">
        <v>28</v>
      </c>
      <c r="D90">
        <v>2</v>
      </c>
      <c r="E90">
        <v>1</v>
      </c>
      <c r="F90">
        <v>0</v>
      </c>
      <c r="G90">
        <v>3</v>
      </c>
      <c r="H90" s="1">
        <f t="shared" si="3"/>
        <v>45693</v>
      </c>
      <c r="I90">
        <f t="shared" si="4"/>
        <v>6</v>
      </c>
    </row>
    <row r="91" spans="1:9" x14ac:dyDescent="0.2">
      <c r="A91">
        <v>20250205</v>
      </c>
      <c r="B91" t="s">
        <v>9</v>
      </c>
      <c r="C91" t="s">
        <v>24</v>
      </c>
      <c r="D91">
        <v>1</v>
      </c>
      <c r="E91">
        <v>28</v>
      </c>
      <c r="F91">
        <v>0</v>
      </c>
      <c r="G91">
        <v>0</v>
      </c>
      <c r="H91" s="1">
        <f t="shared" si="3"/>
        <v>45693</v>
      </c>
      <c r="I91">
        <f t="shared" si="4"/>
        <v>6</v>
      </c>
    </row>
    <row r="92" spans="1:9" x14ac:dyDescent="0.2">
      <c r="A92">
        <v>20250206</v>
      </c>
      <c r="B92" t="s">
        <v>7</v>
      </c>
      <c r="C92" t="s">
        <v>8</v>
      </c>
      <c r="D92">
        <v>2</v>
      </c>
      <c r="E92">
        <v>14.5</v>
      </c>
      <c r="F92">
        <v>0</v>
      </c>
      <c r="G92">
        <v>0</v>
      </c>
      <c r="H92" s="1">
        <f t="shared" si="3"/>
        <v>45694</v>
      </c>
      <c r="I92">
        <f t="shared" si="4"/>
        <v>6</v>
      </c>
    </row>
    <row r="93" spans="1:9" x14ac:dyDescent="0.2">
      <c r="A93">
        <v>20250206</v>
      </c>
      <c r="B93" t="s">
        <v>7</v>
      </c>
      <c r="C93" t="s">
        <v>22</v>
      </c>
      <c r="D93">
        <v>1</v>
      </c>
      <c r="E93">
        <v>48</v>
      </c>
      <c r="F93">
        <v>0</v>
      </c>
      <c r="G93">
        <v>0</v>
      </c>
      <c r="H93" s="1">
        <f t="shared" si="3"/>
        <v>45694</v>
      </c>
      <c r="I93">
        <f t="shared" si="4"/>
        <v>6</v>
      </c>
    </row>
    <row r="94" spans="1:9" x14ac:dyDescent="0.2">
      <c r="A94">
        <v>20250206</v>
      </c>
      <c r="B94" t="s">
        <v>9</v>
      </c>
      <c r="C94" t="s">
        <v>13</v>
      </c>
      <c r="D94">
        <v>2</v>
      </c>
      <c r="E94">
        <v>1</v>
      </c>
      <c r="F94">
        <v>0</v>
      </c>
      <c r="G94">
        <v>0</v>
      </c>
      <c r="H94" s="1">
        <f t="shared" si="3"/>
        <v>45694</v>
      </c>
      <c r="I94">
        <f t="shared" si="4"/>
        <v>6</v>
      </c>
    </row>
    <row r="95" spans="1:9" x14ac:dyDescent="0.2">
      <c r="A95">
        <v>20250206</v>
      </c>
      <c r="B95" t="s">
        <v>10</v>
      </c>
      <c r="C95" t="s">
        <v>8</v>
      </c>
      <c r="D95">
        <v>1</v>
      </c>
      <c r="E95">
        <v>15</v>
      </c>
      <c r="F95">
        <v>0</v>
      </c>
      <c r="G95">
        <v>0</v>
      </c>
      <c r="H95" s="1">
        <f t="shared" si="3"/>
        <v>45694</v>
      </c>
      <c r="I95">
        <f t="shared" si="4"/>
        <v>6</v>
      </c>
    </row>
    <row r="96" spans="1:9" x14ac:dyDescent="0.2">
      <c r="A96">
        <v>20250207</v>
      </c>
      <c r="B96" t="s">
        <v>7</v>
      </c>
      <c r="C96" t="s">
        <v>8</v>
      </c>
      <c r="D96">
        <v>2</v>
      </c>
      <c r="E96">
        <v>20.5</v>
      </c>
      <c r="F96">
        <v>0</v>
      </c>
      <c r="G96">
        <v>0</v>
      </c>
      <c r="H96" s="1">
        <f t="shared" si="3"/>
        <v>45695</v>
      </c>
      <c r="I96">
        <f t="shared" si="4"/>
        <v>6</v>
      </c>
    </row>
    <row r="97" spans="1:9" x14ac:dyDescent="0.2">
      <c r="A97">
        <v>20250208</v>
      </c>
      <c r="B97" t="s">
        <v>7</v>
      </c>
      <c r="C97" t="s">
        <v>8</v>
      </c>
      <c r="D97">
        <v>9</v>
      </c>
      <c r="E97">
        <v>74</v>
      </c>
      <c r="F97">
        <v>0</v>
      </c>
      <c r="G97">
        <v>1</v>
      </c>
      <c r="H97" s="1">
        <f t="shared" si="3"/>
        <v>45696</v>
      </c>
      <c r="I97">
        <f t="shared" si="4"/>
        <v>6</v>
      </c>
    </row>
    <row r="98" spans="1:9" x14ac:dyDescent="0.2">
      <c r="A98">
        <v>20250208</v>
      </c>
      <c r="B98" t="s">
        <v>7</v>
      </c>
      <c r="C98" t="s">
        <v>17</v>
      </c>
      <c r="D98">
        <v>1</v>
      </c>
      <c r="E98">
        <v>45</v>
      </c>
      <c r="F98">
        <v>0</v>
      </c>
      <c r="G98">
        <v>0</v>
      </c>
      <c r="H98" s="1">
        <f t="shared" si="3"/>
        <v>45696</v>
      </c>
      <c r="I98">
        <f t="shared" si="4"/>
        <v>6</v>
      </c>
    </row>
    <row r="99" spans="1:9" x14ac:dyDescent="0.2">
      <c r="A99">
        <v>20250209</v>
      </c>
      <c r="B99" t="s">
        <v>7</v>
      </c>
      <c r="C99" t="s">
        <v>8</v>
      </c>
      <c r="D99">
        <v>20</v>
      </c>
      <c r="E99">
        <v>60.5</v>
      </c>
      <c r="F99">
        <v>0</v>
      </c>
      <c r="G99">
        <v>0</v>
      </c>
      <c r="H99" s="1">
        <f t="shared" si="3"/>
        <v>45697</v>
      </c>
      <c r="I99">
        <f t="shared" si="4"/>
        <v>7</v>
      </c>
    </row>
    <row r="100" spans="1:9" x14ac:dyDescent="0.2">
      <c r="A100">
        <v>20250210</v>
      </c>
      <c r="B100" t="s">
        <v>7</v>
      </c>
      <c r="C100" t="s">
        <v>8</v>
      </c>
      <c r="D100">
        <v>34</v>
      </c>
      <c r="E100">
        <v>73.588235294117595</v>
      </c>
      <c r="F100">
        <v>0</v>
      </c>
      <c r="G100">
        <v>3</v>
      </c>
      <c r="H100" s="1">
        <f t="shared" si="3"/>
        <v>45698</v>
      </c>
      <c r="I100">
        <f t="shared" si="4"/>
        <v>7</v>
      </c>
    </row>
    <row r="101" spans="1:9" x14ac:dyDescent="0.2">
      <c r="A101">
        <v>20250210</v>
      </c>
      <c r="B101" t="s">
        <v>9</v>
      </c>
      <c r="C101" t="s">
        <v>8</v>
      </c>
      <c r="D101">
        <v>1</v>
      </c>
      <c r="E101">
        <v>40</v>
      </c>
      <c r="F101">
        <v>0</v>
      </c>
      <c r="G101">
        <v>0</v>
      </c>
      <c r="H101" s="1">
        <f t="shared" si="3"/>
        <v>45698</v>
      </c>
      <c r="I101">
        <f t="shared" si="4"/>
        <v>7</v>
      </c>
    </row>
    <row r="102" spans="1:9" x14ac:dyDescent="0.2">
      <c r="A102">
        <v>20250210</v>
      </c>
      <c r="B102" t="s">
        <v>10</v>
      </c>
      <c r="C102" t="s">
        <v>8</v>
      </c>
      <c r="D102">
        <v>1</v>
      </c>
      <c r="E102">
        <v>10</v>
      </c>
      <c r="F102">
        <v>0</v>
      </c>
      <c r="G102">
        <v>0</v>
      </c>
      <c r="H102" s="1">
        <f t="shared" si="3"/>
        <v>45698</v>
      </c>
      <c r="I102">
        <f t="shared" si="4"/>
        <v>7</v>
      </c>
    </row>
    <row r="103" spans="1:9" x14ac:dyDescent="0.2">
      <c r="A103">
        <v>20250211</v>
      </c>
      <c r="B103" t="s">
        <v>7</v>
      </c>
      <c r="C103" t="s">
        <v>8</v>
      </c>
      <c r="D103">
        <v>40</v>
      </c>
      <c r="E103">
        <v>56.7</v>
      </c>
      <c r="F103">
        <v>0</v>
      </c>
      <c r="G103">
        <v>0</v>
      </c>
      <c r="H103" s="1">
        <f t="shared" si="3"/>
        <v>45699</v>
      </c>
      <c r="I103">
        <f t="shared" si="4"/>
        <v>7</v>
      </c>
    </row>
    <row r="104" spans="1:9" x14ac:dyDescent="0.2">
      <c r="A104">
        <v>20250212</v>
      </c>
      <c r="B104" t="s">
        <v>7</v>
      </c>
      <c r="C104" t="s">
        <v>8</v>
      </c>
      <c r="D104">
        <v>30</v>
      </c>
      <c r="E104">
        <v>64.133333333333297</v>
      </c>
      <c r="F104">
        <v>0</v>
      </c>
      <c r="G104">
        <v>3</v>
      </c>
      <c r="H104" s="1">
        <f t="shared" si="3"/>
        <v>45700</v>
      </c>
      <c r="I104">
        <f t="shared" si="4"/>
        <v>7</v>
      </c>
    </row>
    <row r="105" spans="1:9" x14ac:dyDescent="0.2">
      <c r="A105">
        <v>20250213</v>
      </c>
      <c r="B105" t="s">
        <v>12</v>
      </c>
      <c r="C105" t="s">
        <v>8</v>
      </c>
      <c r="D105">
        <v>2</v>
      </c>
      <c r="E105">
        <v>1</v>
      </c>
      <c r="F105">
        <v>0</v>
      </c>
      <c r="G105">
        <v>0</v>
      </c>
      <c r="H105" s="1">
        <f t="shared" si="3"/>
        <v>45701</v>
      </c>
      <c r="I105">
        <f t="shared" si="4"/>
        <v>7</v>
      </c>
    </row>
    <row r="106" spans="1:9" x14ac:dyDescent="0.2">
      <c r="A106">
        <v>20250213</v>
      </c>
      <c r="B106" t="s">
        <v>7</v>
      </c>
      <c r="C106" t="s">
        <v>8</v>
      </c>
      <c r="D106">
        <v>24</v>
      </c>
      <c r="E106">
        <v>65.875</v>
      </c>
      <c r="F106">
        <v>0</v>
      </c>
      <c r="G106">
        <v>0</v>
      </c>
      <c r="H106" s="1">
        <f t="shared" si="3"/>
        <v>45701</v>
      </c>
      <c r="I106">
        <f t="shared" si="4"/>
        <v>7</v>
      </c>
    </row>
    <row r="107" spans="1:9" x14ac:dyDescent="0.2">
      <c r="A107">
        <v>20250213</v>
      </c>
      <c r="B107" t="s">
        <v>9</v>
      </c>
      <c r="C107" t="s">
        <v>8</v>
      </c>
      <c r="D107">
        <v>2</v>
      </c>
      <c r="E107">
        <v>2</v>
      </c>
      <c r="F107">
        <v>0</v>
      </c>
      <c r="G107">
        <v>0</v>
      </c>
      <c r="H107" s="1">
        <f t="shared" si="3"/>
        <v>45701</v>
      </c>
      <c r="I107">
        <f t="shared" si="4"/>
        <v>7</v>
      </c>
    </row>
    <row r="108" spans="1:9" x14ac:dyDescent="0.2">
      <c r="A108">
        <v>20250213</v>
      </c>
      <c r="B108" t="s">
        <v>10</v>
      </c>
      <c r="C108" t="s">
        <v>8</v>
      </c>
      <c r="D108">
        <v>1</v>
      </c>
      <c r="E108">
        <v>2</v>
      </c>
      <c r="F108">
        <v>0</v>
      </c>
      <c r="G108">
        <v>2</v>
      </c>
      <c r="H108" s="1">
        <f t="shared" si="3"/>
        <v>45701</v>
      </c>
      <c r="I108">
        <f t="shared" si="4"/>
        <v>7</v>
      </c>
    </row>
    <row r="109" spans="1:9" x14ac:dyDescent="0.2">
      <c r="A109">
        <v>20250214</v>
      </c>
      <c r="B109" t="s">
        <v>7</v>
      </c>
      <c r="C109" t="s">
        <v>8</v>
      </c>
      <c r="D109">
        <v>23</v>
      </c>
      <c r="E109">
        <v>45.565217391304301</v>
      </c>
      <c r="F109">
        <v>0</v>
      </c>
      <c r="G109">
        <v>0</v>
      </c>
      <c r="H109" s="1">
        <f t="shared" si="3"/>
        <v>45702</v>
      </c>
      <c r="I109">
        <f t="shared" si="4"/>
        <v>7</v>
      </c>
    </row>
    <row r="110" spans="1:9" x14ac:dyDescent="0.2">
      <c r="A110">
        <v>20250214</v>
      </c>
      <c r="B110" t="s">
        <v>9</v>
      </c>
      <c r="C110" t="s">
        <v>8</v>
      </c>
      <c r="D110">
        <v>1</v>
      </c>
      <c r="E110">
        <v>42</v>
      </c>
      <c r="F110">
        <v>0</v>
      </c>
      <c r="G110">
        <v>0</v>
      </c>
      <c r="H110" s="1">
        <f t="shared" si="3"/>
        <v>45702</v>
      </c>
      <c r="I110">
        <f t="shared" si="4"/>
        <v>7</v>
      </c>
    </row>
    <row r="111" spans="1:9" x14ac:dyDescent="0.2">
      <c r="A111">
        <v>20250215</v>
      </c>
      <c r="B111" t="s">
        <v>7</v>
      </c>
      <c r="C111" t="s">
        <v>8</v>
      </c>
      <c r="D111">
        <v>25</v>
      </c>
      <c r="E111">
        <v>41.64</v>
      </c>
      <c r="F111">
        <v>0</v>
      </c>
      <c r="G111">
        <v>0</v>
      </c>
      <c r="H111" s="1">
        <f t="shared" si="3"/>
        <v>45703</v>
      </c>
      <c r="I111">
        <f t="shared" si="4"/>
        <v>7</v>
      </c>
    </row>
    <row r="112" spans="1:9" x14ac:dyDescent="0.2">
      <c r="A112">
        <v>20250215</v>
      </c>
      <c r="B112" t="s">
        <v>10</v>
      </c>
      <c r="C112" t="s">
        <v>24</v>
      </c>
      <c r="D112">
        <v>3</v>
      </c>
      <c r="E112">
        <v>14.3333333333333</v>
      </c>
      <c r="F112">
        <v>0</v>
      </c>
      <c r="G112">
        <v>0</v>
      </c>
      <c r="H112" s="1">
        <f t="shared" si="3"/>
        <v>45703</v>
      </c>
      <c r="I112">
        <f t="shared" si="4"/>
        <v>7</v>
      </c>
    </row>
    <row r="113" spans="1:9" x14ac:dyDescent="0.2">
      <c r="A113">
        <v>20250215</v>
      </c>
      <c r="B113" t="s">
        <v>10</v>
      </c>
      <c r="C113" t="s">
        <v>8</v>
      </c>
      <c r="D113">
        <v>1</v>
      </c>
      <c r="E113">
        <v>15</v>
      </c>
      <c r="F113">
        <v>0</v>
      </c>
      <c r="G113">
        <v>0</v>
      </c>
      <c r="H113" s="1">
        <f t="shared" si="3"/>
        <v>45703</v>
      </c>
      <c r="I113">
        <f t="shared" si="4"/>
        <v>7</v>
      </c>
    </row>
    <row r="114" spans="1:9" x14ac:dyDescent="0.2">
      <c r="A114">
        <v>20250216</v>
      </c>
      <c r="B114" t="s">
        <v>16</v>
      </c>
      <c r="C114" t="s">
        <v>8</v>
      </c>
      <c r="D114">
        <v>2</v>
      </c>
      <c r="E114">
        <v>74</v>
      </c>
      <c r="F114">
        <v>0</v>
      </c>
      <c r="G114">
        <v>0</v>
      </c>
      <c r="H114" s="1">
        <f t="shared" si="3"/>
        <v>45704</v>
      </c>
      <c r="I114">
        <f t="shared" si="4"/>
        <v>8</v>
      </c>
    </row>
    <row r="115" spans="1:9" x14ac:dyDescent="0.2">
      <c r="A115">
        <v>20250216</v>
      </c>
      <c r="B115" t="s">
        <v>7</v>
      </c>
      <c r="C115" t="s">
        <v>8</v>
      </c>
      <c r="D115">
        <v>17</v>
      </c>
      <c r="E115">
        <v>59.764705882352899</v>
      </c>
      <c r="F115">
        <v>0</v>
      </c>
      <c r="G115">
        <v>0</v>
      </c>
      <c r="H115" s="1">
        <f t="shared" si="3"/>
        <v>45704</v>
      </c>
      <c r="I115">
        <f t="shared" si="4"/>
        <v>8</v>
      </c>
    </row>
    <row r="116" spans="1:9" x14ac:dyDescent="0.2">
      <c r="A116">
        <v>20250216</v>
      </c>
      <c r="B116" t="s">
        <v>7</v>
      </c>
      <c r="C116" t="s">
        <v>17</v>
      </c>
      <c r="D116">
        <v>1</v>
      </c>
      <c r="E116">
        <v>38</v>
      </c>
      <c r="F116">
        <v>0</v>
      </c>
      <c r="G116">
        <v>0</v>
      </c>
      <c r="H116" s="1">
        <f t="shared" si="3"/>
        <v>45704</v>
      </c>
      <c r="I116">
        <f t="shared" si="4"/>
        <v>8</v>
      </c>
    </row>
    <row r="117" spans="1:9" x14ac:dyDescent="0.2">
      <c r="A117">
        <v>20250216</v>
      </c>
      <c r="B117" t="s">
        <v>23</v>
      </c>
      <c r="C117" t="s">
        <v>8</v>
      </c>
      <c r="D117">
        <v>1</v>
      </c>
      <c r="E117">
        <v>1</v>
      </c>
      <c r="F117">
        <v>0</v>
      </c>
      <c r="G117">
        <v>0</v>
      </c>
      <c r="H117" s="1">
        <f t="shared" si="3"/>
        <v>45704</v>
      </c>
      <c r="I117">
        <f t="shared" si="4"/>
        <v>8</v>
      </c>
    </row>
    <row r="118" spans="1:9" x14ac:dyDescent="0.2">
      <c r="A118">
        <v>20250216</v>
      </c>
      <c r="B118" t="s">
        <v>10</v>
      </c>
      <c r="C118" t="s">
        <v>8</v>
      </c>
      <c r="D118">
        <v>1</v>
      </c>
      <c r="E118">
        <v>32</v>
      </c>
      <c r="F118">
        <v>0</v>
      </c>
      <c r="G118">
        <v>0</v>
      </c>
      <c r="H118" s="1">
        <f t="shared" si="3"/>
        <v>45704</v>
      </c>
      <c r="I118">
        <f t="shared" si="4"/>
        <v>8</v>
      </c>
    </row>
    <row r="119" spans="1:9" x14ac:dyDescent="0.2">
      <c r="A119">
        <v>20250217</v>
      </c>
      <c r="B119" t="s">
        <v>7</v>
      </c>
      <c r="C119" t="s">
        <v>8</v>
      </c>
      <c r="D119">
        <v>20</v>
      </c>
      <c r="E119">
        <v>70.400000000000006</v>
      </c>
      <c r="F119">
        <v>0</v>
      </c>
      <c r="G119">
        <v>0</v>
      </c>
      <c r="H119" s="1">
        <f t="shared" si="3"/>
        <v>45705</v>
      </c>
      <c r="I119">
        <f t="shared" si="4"/>
        <v>8</v>
      </c>
    </row>
    <row r="120" spans="1:9" x14ac:dyDescent="0.2">
      <c r="A120">
        <v>20250218</v>
      </c>
      <c r="B120" t="s">
        <v>7</v>
      </c>
      <c r="C120" t="s">
        <v>8</v>
      </c>
      <c r="D120">
        <v>17</v>
      </c>
      <c r="E120">
        <v>70</v>
      </c>
      <c r="F120">
        <v>0</v>
      </c>
      <c r="G120">
        <v>0</v>
      </c>
      <c r="H120" s="1">
        <f t="shared" si="3"/>
        <v>45706</v>
      </c>
      <c r="I120">
        <f t="shared" si="4"/>
        <v>8</v>
      </c>
    </row>
    <row r="121" spans="1:9" x14ac:dyDescent="0.2">
      <c r="A121">
        <v>20250218</v>
      </c>
      <c r="B121" t="s">
        <v>10</v>
      </c>
      <c r="C121" t="s">
        <v>8</v>
      </c>
      <c r="D121">
        <v>1</v>
      </c>
      <c r="E121">
        <v>47</v>
      </c>
      <c r="F121">
        <v>0</v>
      </c>
      <c r="G121">
        <v>0</v>
      </c>
      <c r="H121" s="1">
        <f t="shared" si="3"/>
        <v>45706</v>
      </c>
      <c r="I121">
        <f t="shared" si="4"/>
        <v>8</v>
      </c>
    </row>
    <row r="122" spans="1:9" x14ac:dyDescent="0.2">
      <c r="A122">
        <v>20250219</v>
      </c>
      <c r="B122" t="s">
        <v>7</v>
      </c>
      <c r="C122" t="s">
        <v>8</v>
      </c>
      <c r="D122">
        <v>23</v>
      </c>
      <c r="E122">
        <v>58.521739130434703</v>
      </c>
      <c r="F122">
        <v>0</v>
      </c>
      <c r="G122">
        <v>0</v>
      </c>
      <c r="H122" s="1">
        <f t="shared" si="3"/>
        <v>45707</v>
      </c>
      <c r="I122">
        <f t="shared" si="4"/>
        <v>8</v>
      </c>
    </row>
    <row r="123" spans="1:9" x14ac:dyDescent="0.2">
      <c r="A123">
        <v>20250219</v>
      </c>
      <c r="B123" t="s">
        <v>10</v>
      </c>
      <c r="C123" t="s">
        <v>8</v>
      </c>
      <c r="D123">
        <v>2</v>
      </c>
      <c r="E123">
        <v>18.5</v>
      </c>
      <c r="F123">
        <v>0</v>
      </c>
      <c r="G123">
        <v>0</v>
      </c>
      <c r="H123" s="1">
        <f t="shared" si="3"/>
        <v>45707</v>
      </c>
      <c r="I123">
        <f t="shared" si="4"/>
        <v>8</v>
      </c>
    </row>
    <row r="124" spans="1:9" x14ac:dyDescent="0.2">
      <c r="A124">
        <v>20250219</v>
      </c>
      <c r="B124" t="s">
        <v>10</v>
      </c>
      <c r="C124" t="s">
        <v>24</v>
      </c>
      <c r="D124">
        <v>1</v>
      </c>
      <c r="E124">
        <v>31</v>
      </c>
      <c r="F124">
        <v>0</v>
      </c>
      <c r="G124">
        <v>0</v>
      </c>
      <c r="H124" s="1">
        <f t="shared" si="3"/>
        <v>45707</v>
      </c>
      <c r="I124">
        <f t="shared" si="4"/>
        <v>8</v>
      </c>
    </row>
    <row r="125" spans="1:9" x14ac:dyDescent="0.2">
      <c r="A125">
        <v>20250220</v>
      </c>
      <c r="B125" t="s">
        <v>7</v>
      </c>
      <c r="C125" t="s">
        <v>8</v>
      </c>
      <c r="D125">
        <v>19</v>
      </c>
      <c r="E125">
        <v>60.684210526315702</v>
      </c>
      <c r="F125">
        <v>0</v>
      </c>
      <c r="G125">
        <v>0</v>
      </c>
      <c r="H125" s="1">
        <f t="shared" si="3"/>
        <v>45708</v>
      </c>
      <c r="I125">
        <f t="shared" si="4"/>
        <v>8</v>
      </c>
    </row>
    <row r="126" spans="1:9" x14ac:dyDescent="0.2">
      <c r="A126">
        <v>20250220</v>
      </c>
      <c r="B126" t="s">
        <v>7</v>
      </c>
      <c r="C126" t="s">
        <v>17</v>
      </c>
      <c r="D126">
        <v>1</v>
      </c>
      <c r="E126">
        <v>25</v>
      </c>
      <c r="F126">
        <v>0</v>
      </c>
      <c r="G126">
        <v>0</v>
      </c>
      <c r="H126" s="1">
        <f t="shared" si="3"/>
        <v>45708</v>
      </c>
      <c r="I126">
        <f t="shared" si="4"/>
        <v>8</v>
      </c>
    </row>
    <row r="127" spans="1:9" x14ac:dyDescent="0.2">
      <c r="A127">
        <v>20250220</v>
      </c>
      <c r="B127" t="s">
        <v>23</v>
      </c>
      <c r="C127" t="s">
        <v>13</v>
      </c>
      <c r="D127">
        <v>1</v>
      </c>
      <c r="E127">
        <v>1</v>
      </c>
      <c r="F127">
        <v>0</v>
      </c>
      <c r="G127">
        <v>2</v>
      </c>
      <c r="H127" s="1">
        <f t="shared" si="3"/>
        <v>45708</v>
      </c>
      <c r="I127">
        <f t="shared" si="4"/>
        <v>8</v>
      </c>
    </row>
    <row r="128" spans="1:9" x14ac:dyDescent="0.2">
      <c r="A128">
        <v>20250220</v>
      </c>
      <c r="B128" t="s">
        <v>14</v>
      </c>
      <c r="C128" t="s">
        <v>8</v>
      </c>
      <c r="D128">
        <v>1</v>
      </c>
      <c r="E128">
        <v>36</v>
      </c>
      <c r="F128">
        <v>0</v>
      </c>
      <c r="G128">
        <v>0</v>
      </c>
      <c r="H128" s="1">
        <f t="shared" si="3"/>
        <v>45708</v>
      </c>
      <c r="I128">
        <f t="shared" si="4"/>
        <v>8</v>
      </c>
    </row>
    <row r="129" spans="1:9" x14ac:dyDescent="0.2">
      <c r="A129">
        <v>20250220</v>
      </c>
      <c r="B129" t="s">
        <v>10</v>
      </c>
      <c r="C129" t="s">
        <v>13</v>
      </c>
      <c r="D129">
        <v>1</v>
      </c>
      <c r="E129">
        <v>1</v>
      </c>
      <c r="F129">
        <v>0</v>
      </c>
      <c r="G129">
        <v>0</v>
      </c>
      <c r="H129" s="1">
        <f t="shared" si="3"/>
        <v>45708</v>
      </c>
      <c r="I129">
        <f t="shared" si="4"/>
        <v>8</v>
      </c>
    </row>
    <row r="130" spans="1:9" x14ac:dyDescent="0.2">
      <c r="A130">
        <v>20250221</v>
      </c>
      <c r="B130" t="s">
        <v>7</v>
      </c>
      <c r="C130" t="s">
        <v>8</v>
      </c>
      <c r="D130">
        <v>13</v>
      </c>
      <c r="E130">
        <v>54</v>
      </c>
      <c r="F130">
        <v>0</v>
      </c>
      <c r="G130">
        <v>0</v>
      </c>
      <c r="H130" s="1">
        <f t="shared" ref="H130:H193" si="5">DATE(LEFT(A130,4),MID(A130,5,2),RIGHT(A130,2))</f>
        <v>45709</v>
      </c>
      <c r="I130">
        <f t="shared" ref="I130:I193" si="6">WEEKNUM(H130)</f>
        <v>8</v>
      </c>
    </row>
    <row r="131" spans="1:9" x14ac:dyDescent="0.2">
      <c r="A131">
        <v>20250222</v>
      </c>
      <c r="B131" t="s">
        <v>19</v>
      </c>
      <c r="C131" t="s">
        <v>8</v>
      </c>
      <c r="D131">
        <v>1</v>
      </c>
      <c r="E131">
        <v>31</v>
      </c>
      <c r="F131">
        <v>0</v>
      </c>
      <c r="G131">
        <v>0</v>
      </c>
      <c r="H131" s="1">
        <f t="shared" si="5"/>
        <v>45710</v>
      </c>
      <c r="I131">
        <f t="shared" si="6"/>
        <v>8</v>
      </c>
    </row>
    <row r="132" spans="1:9" x14ac:dyDescent="0.2">
      <c r="A132">
        <v>20250222</v>
      </c>
      <c r="B132" t="s">
        <v>7</v>
      </c>
      <c r="C132" t="s">
        <v>8</v>
      </c>
      <c r="D132">
        <v>7</v>
      </c>
      <c r="E132">
        <v>84</v>
      </c>
      <c r="F132">
        <v>0</v>
      </c>
      <c r="G132">
        <v>1</v>
      </c>
      <c r="H132" s="1">
        <f t="shared" si="5"/>
        <v>45710</v>
      </c>
      <c r="I132">
        <f t="shared" si="6"/>
        <v>8</v>
      </c>
    </row>
    <row r="133" spans="1:9" x14ac:dyDescent="0.2">
      <c r="A133">
        <v>20250223</v>
      </c>
      <c r="B133" t="s">
        <v>7</v>
      </c>
      <c r="C133" t="s">
        <v>8</v>
      </c>
      <c r="D133">
        <v>10</v>
      </c>
      <c r="E133">
        <v>75.3</v>
      </c>
      <c r="F133">
        <v>0</v>
      </c>
      <c r="G133">
        <v>0</v>
      </c>
      <c r="H133" s="1">
        <f t="shared" si="5"/>
        <v>45711</v>
      </c>
      <c r="I133">
        <f t="shared" si="6"/>
        <v>9</v>
      </c>
    </row>
    <row r="134" spans="1:9" x14ac:dyDescent="0.2">
      <c r="A134">
        <v>20250223</v>
      </c>
      <c r="B134" t="s">
        <v>10</v>
      </c>
      <c r="C134" t="s">
        <v>8</v>
      </c>
      <c r="D134">
        <v>2</v>
      </c>
      <c r="E134">
        <v>16.5</v>
      </c>
      <c r="F134">
        <v>0</v>
      </c>
      <c r="G134">
        <v>0</v>
      </c>
      <c r="H134" s="1">
        <f t="shared" si="5"/>
        <v>45711</v>
      </c>
      <c r="I134">
        <f t="shared" si="6"/>
        <v>9</v>
      </c>
    </row>
    <row r="135" spans="1:9" x14ac:dyDescent="0.2">
      <c r="A135">
        <v>20250224</v>
      </c>
      <c r="B135" t="s">
        <v>7</v>
      </c>
      <c r="C135" t="s">
        <v>8</v>
      </c>
      <c r="D135">
        <v>3</v>
      </c>
      <c r="E135">
        <v>36.6666666666666</v>
      </c>
      <c r="F135">
        <v>0</v>
      </c>
      <c r="G135">
        <v>0</v>
      </c>
      <c r="H135" s="1">
        <f t="shared" si="5"/>
        <v>45712</v>
      </c>
      <c r="I135">
        <f t="shared" si="6"/>
        <v>9</v>
      </c>
    </row>
    <row r="136" spans="1:9" x14ac:dyDescent="0.2">
      <c r="A136">
        <v>20250225</v>
      </c>
      <c r="B136" t="s">
        <v>7</v>
      </c>
      <c r="C136" t="s">
        <v>8</v>
      </c>
      <c r="D136">
        <v>4</v>
      </c>
      <c r="E136">
        <v>39.25</v>
      </c>
      <c r="F136">
        <v>0</v>
      </c>
      <c r="G136">
        <v>0</v>
      </c>
      <c r="H136" s="1">
        <f t="shared" si="5"/>
        <v>45713</v>
      </c>
      <c r="I136">
        <f t="shared" si="6"/>
        <v>9</v>
      </c>
    </row>
    <row r="137" spans="1:9" x14ac:dyDescent="0.2">
      <c r="A137">
        <v>20250225</v>
      </c>
      <c r="B137" t="s">
        <v>10</v>
      </c>
      <c r="C137" t="s">
        <v>17</v>
      </c>
      <c r="D137">
        <v>3</v>
      </c>
      <c r="E137">
        <v>1</v>
      </c>
      <c r="F137">
        <v>0</v>
      </c>
      <c r="G137">
        <v>5</v>
      </c>
      <c r="H137" s="1">
        <f t="shared" si="5"/>
        <v>45713</v>
      </c>
      <c r="I137">
        <f t="shared" si="6"/>
        <v>9</v>
      </c>
    </row>
    <row r="138" spans="1:9" x14ac:dyDescent="0.2">
      <c r="A138">
        <v>20250226</v>
      </c>
      <c r="B138" t="s">
        <v>7</v>
      </c>
      <c r="C138" t="s">
        <v>8</v>
      </c>
      <c r="D138">
        <v>1</v>
      </c>
      <c r="E138">
        <v>31</v>
      </c>
      <c r="F138">
        <v>0</v>
      </c>
      <c r="G138">
        <v>0</v>
      </c>
      <c r="H138" s="1">
        <f t="shared" si="5"/>
        <v>45714</v>
      </c>
      <c r="I138">
        <f t="shared" si="6"/>
        <v>9</v>
      </c>
    </row>
    <row r="139" spans="1:9" x14ac:dyDescent="0.2">
      <c r="A139">
        <v>20250226</v>
      </c>
      <c r="B139" t="s">
        <v>9</v>
      </c>
      <c r="C139" t="s">
        <v>13</v>
      </c>
      <c r="D139">
        <v>1</v>
      </c>
      <c r="E139">
        <v>1</v>
      </c>
      <c r="F139">
        <v>0</v>
      </c>
      <c r="G139">
        <v>0</v>
      </c>
      <c r="H139" s="1">
        <f t="shared" si="5"/>
        <v>45714</v>
      </c>
      <c r="I139">
        <f t="shared" si="6"/>
        <v>9</v>
      </c>
    </row>
    <row r="140" spans="1:9" x14ac:dyDescent="0.2">
      <c r="A140">
        <v>20250226</v>
      </c>
      <c r="B140" t="s">
        <v>9</v>
      </c>
      <c r="C140" t="s">
        <v>8</v>
      </c>
      <c r="D140">
        <v>1</v>
      </c>
      <c r="E140">
        <v>37</v>
      </c>
      <c r="F140">
        <v>0</v>
      </c>
      <c r="G140">
        <v>0</v>
      </c>
      <c r="H140" s="1">
        <f t="shared" si="5"/>
        <v>45714</v>
      </c>
      <c r="I140">
        <f t="shared" si="6"/>
        <v>9</v>
      </c>
    </row>
    <row r="141" spans="1:9" x14ac:dyDescent="0.2">
      <c r="A141">
        <v>20250226</v>
      </c>
      <c r="B141" t="s">
        <v>10</v>
      </c>
      <c r="C141" t="s">
        <v>13</v>
      </c>
      <c r="D141">
        <v>2</v>
      </c>
      <c r="E141">
        <v>1</v>
      </c>
      <c r="F141">
        <v>0</v>
      </c>
      <c r="G141">
        <v>0</v>
      </c>
      <c r="H141" s="1">
        <f t="shared" si="5"/>
        <v>45714</v>
      </c>
      <c r="I141">
        <f t="shared" si="6"/>
        <v>9</v>
      </c>
    </row>
    <row r="142" spans="1:9" x14ac:dyDescent="0.2">
      <c r="A142">
        <v>20250227</v>
      </c>
      <c r="B142" t="s">
        <v>7</v>
      </c>
      <c r="C142" t="s">
        <v>8</v>
      </c>
      <c r="D142">
        <v>1</v>
      </c>
      <c r="E142">
        <v>87</v>
      </c>
      <c r="F142">
        <v>0</v>
      </c>
      <c r="G142">
        <v>0</v>
      </c>
      <c r="H142" s="1">
        <f t="shared" si="5"/>
        <v>45715</v>
      </c>
      <c r="I142">
        <f t="shared" si="6"/>
        <v>9</v>
      </c>
    </row>
    <row r="143" spans="1:9" x14ac:dyDescent="0.2">
      <c r="A143">
        <v>20250227</v>
      </c>
      <c r="B143" t="s">
        <v>10</v>
      </c>
      <c r="C143" t="s">
        <v>8</v>
      </c>
      <c r="D143">
        <v>1</v>
      </c>
      <c r="E143">
        <v>15</v>
      </c>
      <c r="F143">
        <v>0</v>
      </c>
      <c r="G143">
        <v>0</v>
      </c>
      <c r="H143" s="1">
        <f t="shared" si="5"/>
        <v>45715</v>
      </c>
      <c r="I143">
        <f t="shared" si="6"/>
        <v>9</v>
      </c>
    </row>
    <row r="144" spans="1:9" x14ac:dyDescent="0.2">
      <c r="A144">
        <v>20250228</v>
      </c>
      <c r="B144" t="s">
        <v>19</v>
      </c>
      <c r="C144" t="s">
        <v>8</v>
      </c>
      <c r="D144">
        <v>2</v>
      </c>
      <c r="E144">
        <v>23</v>
      </c>
      <c r="F144">
        <v>0</v>
      </c>
      <c r="G144">
        <v>0</v>
      </c>
      <c r="H144" s="1">
        <f t="shared" si="5"/>
        <v>45716</v>
      </c>
      <c r="I144">
        <f t="shared" si="6"/>
        <v>9</v>
      </c>
    </row>
    <row r="145" spans="1:9" x14ac:dyDescent="0.2">
      <c r="A145">
        <v>20250228</v>
      </c>
      <c r="B145" t="s">
        <v>23</v>
      </c>
      <c r="C145" t="s">
        <v>8</v>
      </c>
      <c r="D145">
        <v>1</v>
      </c>
      <c r="E145">
        <v>21</v>
      </c>
      <c r="F145">
        <v>0</v>
      </c>
      <c r="G145">
        <v>0</v>
      </c>
      <c r="H145" s="1">
        <f t="shared" si="5"/>
        <v>45716</v>
      </c>
      <c r="I145">
        <f t="shared" si="6"/>
        <v>9</v>
      </c>
    </row>
    <row r="146" spans="1:9" x14ac:dyDescent="0.2">
      <c r="A146">
        <v>20250228</v>
      </c>
      <c r="B146" t="s">
        <v>10</v>
      </c>
      <c r="C146" t="s">
        <v>28</v>
      </c>
      <c r="D146">
        <v>3</v>
      </c>
      <c r="E146">
        <v>66.6666666666666</v>
      </c>
      <c r="F146">
        <v>0</v>
      </c>
      <c r="G146">
        <v>0</v>
      </c>
      <c r="H146" s="1">
        <f t="shared" si="5"/>
        <v>45716</v>
      </c>
      <c r="I146">
        <f t="shared" si="6"/>
        <v>9</v>
      </c>
    </row>
    <row r="147" spans="1:9" x14ac:dyDescent="0.2">
      <c r="A147">
        <v>20250228</v>
      </c>
      <c r="B147" t="s">
        <v>10</v>
      </c>
      <c r="C147" t="s">
        <v>8</v>
      </c>
      <c r="D147">
        <v>1</v>
      </c>
      <c r="E147">
        <v>22</v>
      </c>
      <c r="F147">
        <v>0</v>
      </c>
      <c r="G147">
        <v>0</v>
      </c>
      <c r="H147" s="1">
        <f t="shared" si="5"/>
        <v>45716</v>
      </c>
      <c r="I147">
        <f t="shared" si="6"/>
        <v>9</v>
      </c>
    </row>
    <row r="148" spans="1:9" x14ac:dyDescent="0.2">
      <c r="A148">
        <v>20250301</v>
      </c>
      <c r="B148" t="s">
        <v>7</v>
      </c>
      <c r="C148" t="s">
        <v>8</v>
      </c>
      <c r="D148">
        <v>2</v>
      </c>
      <c r="E148">
        <v>25</v>
      </c>
      <c r="F148">
        <v>0</v>
      </c>
      <c r="G148">
        <v>0</v>
      </c>
      <c r="H148" s="1">
        <f t="shared" si="5"/>
        <v>45717</v>
      </c>
      <c r="I148">
        <f t="shared" si="6"/>
        <v>9</v>
      </c>
    </row>
    <row r="149" spans="1:9" x14ac:dyDescent="0.2">
      <c r="A149">
        <v>20250301</v>
      </c>
      <c r="B149" t="s">
        <v>23</v>
      </c>
      <c r="C149" t="s">
        <v>8</v>
      </c>
      <c r="D149">
        <v>1</v>
      </c>
      <c r="E149">
        <v>23</v>
      </c>
      <c r="F149">
        <v>0</v>
      </c>
      <c r="G149">
        <v>0</v>
      </c>
      <c r="H149" s="1">
        <f t="shared" si="5"/>
        <v>45717</v>
      </c>
      <c r="I149">
        <f t="shared" si="6"/>
        <v>9</v>
      </c>
    </row>
    <row r="150" spans="1:9" x14ac:dyDescent="0.2">
      <c r="A150">
        <v>20250301</v>
      </c>
      <c r="B150" t="s">
        <v>14</v>
      </c>
      <c r="C150" t="s">
        <v>8</v>
      </c>
      <c r="D150">
        <v>1</v>
      </c>
      <c r="E150">
        <v>2</v>
      </c>
      <c r="F150">
        <v>0</v>
      </c>
      <c r="G150">
        <v>2</v>
      </c>
      <c r="H150" s="1">
        <f t="shared" si="5"/>
        <v>45717</v>
      </c>
      <c r="I150">
        <f t="shared" si="6"/>
        <v>9</v>
      </c>
    </row>
    <row r="151" spans="1:9" x14ac:dyDescent="0.2">
      <c r="A151">
        <v>20250301</v>
      </c>
      <c r="B151" t="s">
        <v>9</v>
      </c>
      <c r="C151" t="s">
        <v>8</v>
      </c>
      <c r="D151">
        <v>1</v>
      </c>
      <c r="E151">
        <v>2</v>
      </c>
      <c r="F151">
        <v>0</v>
      </c>
      <c r="G151">
        <v>0</v>
      </c>
      <c r="H151" s="1">
        <f t="shared" si="5"/>
        <v>45717</v>
      </c>
      <c r="I151">
        <f t="shared" si="6"/>
        <v>9</v>
      </c>
    </row>
    <row r="152" spans="1:9" x14ac:dyDescent="0.2">
      <c r="A152">
        <v>20250301</v>
      </c>
      <c r="B152" t="s">
        <v>10</v>
      </c>
      <c r="C152" t="s">
        <v>8</v>
      </c>
      <c r="D152">
        <v>2</v>
      </c>
      <c r="E152">
        <v>14.5</v>
      </c>
      <c r="F152">
        <v>0</v>
      </c>
      <c r="G152">
        <v>0</v>
      </c>
      <c r="H152" s="1">
        <f t="shared" si="5"/>
        <v>45717</v>
      </c>
      <c r="I152">
        <f t="shared" si="6"/>
        <v>9</v>
      </c>
    </row>
    <row r="153" spans="1:9" x14ac:dyDescent="0.2">
      <c r="A153">
        <v>20250302</v>
      </c>
      <c r="B153" t="s">
        <v>19</v>
      </c>
      <c r="C153" t="s">
        <v>8</v>
      </c>
      <c r="D153">
        <v>4</v>
      </c>
      <c r="E153">
        <v>1</v>
      </c>
      <c r="F153">
        <v>0</v>
      </c>
      <c r="G153">
        <v>0</v>
      </c>
      <c r="H153" s="1">
        <f t="shared" si="5"/>
        <v>45718</v>
      </c>
      <c r="I153">
        <f t="shared" si="6"/>
        <v>10</v>
      </c>
    </row>
    <row r="154" spans="1:9" x14ac:dyDescent="0.2">
      <c r="A154">
        <v>20250302</v>
      </c>
      <c r="B154" t="s">
        <v>16</v>
      </c>
      <c r="C154" t="s">
        <v>8</v>
      </c>
      <c r="D154">
        <v>1</v>
      </c>
      <c r="E154">
        <v>31</v>
      </c>
      <c r="F154">
        <v>0</v>
      </c>
      <c r="G154">
        <v>0</v>
      </c>
      <c r="H154" s="1">
        <f t="shared" si="5"/>
        <v>45718</v>
      </c>
      <c r="I154">
        <f t="shared" si="6"/>
        <v>10</v>
      </c>
    </row>
    <row r="155" spans="1:9" x14ac:dyDescent="0.2">
      <c r="A155">
        <v>20250302</v>
      </c>
      <c r="B155" t="s">
        <v>7</v>
      </c>
      <c r="C155" t="s">
        <v>8</v>
      </c>
      <c r="D155">
        <v>2</v>
      </c>
      <c r="E155">
        <v>22</v>
      </c>
      <c r="F155">
        <v>0</v>
      </c>
      <c r="G155">
        <v>0</v>
      </c>
      <c r="H155" s="1">
        <f t="shared" si="5"/>
        <v>45718</v>
      </c>
      <c r="I155">
        <f t="shared" si="6"/>
        <v>10</v>
      </c>
    </row>
    <row r="156" spans="1:9" x14ac:dyDescent="0.2">
      <c r="A156">
        <v>20250302</v>
      </c>
      <c r="B156" t="s">
        <v>10</v>
      </c>
      <c r="C156" t="s">
        <v>8</v>
      </c>
      <c r="D156">
        <v>1</v>
      </c>
      <c r="E156">
        <v>34</v>
      </c>
      <c r="F156">
        <v>0</v>
      </c>
      <c r="G156">
        <v>0</v>
      </c>
      <c r="H156" s="1">
        <f t="shared" si="5"/>
        <v>45718</v>
      </c>
      <c r="I156">
        <f t="shared" si="6"/>
        <v>10</v>
      </c>
    </row>
    <row r="157" spans="1:9" x14ac:dyDescent="0.2">
      <c r="A157">
        <v>20250303</v>
      </c>
      <c r="B157" t="s">
        <v>7</v>
      </c>
      <c r="C157" t="s">
        <v>8</v>
      </c>
      <c r="D157">
        <v>1</v>
      </c>
      <c r="E157">
        <v>10</v>
      </c>
      <c r="F157">
        <v>0</v>
      </c>
      <c r="G157">
        <v>0</v>
      </c>
      <c r="H157" s="1">
        <f t="shared" si="5"/>
        <v>45719</v>
      </c>
      <c r="I157">
        <f t="shared" si="6"/>
        <v>10</v>
      </c>
    </row>
    <row r="158" spans="1:9" x14ac:dyDescent="0.2">
      <c r="A158">
        <v>20250303</v>
      </c>
      <c r="B158" t="s">
        <v>23</v>
      </c>
      <c r="C158" t="s">
        <v>8</v>
      </c>
      <c r="D158">
        <v>3</v>
      </c>
      <c r="E158">
        <v>20.6666666666666</v>
      </c>
      <c r="F158">
        <v>0</v>
      </c>
      <c r="G158">
        <v>0</v>
      </c>
      <c r="H158" s="1">
        <f t="shared" si="5"/>
        <v>45719</v>
      </c>
      <c r="I158">
        <f t="shared" si="6"/>
        <v>10</v>
      </c>
    </row>
    <row r="159" spans="1:9" x14ac:dyDescent="0.2">
      <c r="A159">
        <v>20250304</v>
      </c>
      <c r="B159" t="s">
        <v>19</v>
      </c>
      <c r="C159" t="s">
        <v>8</v>
      </c>
      <c r="D159">
        <v>2</v>
      </c>
      <c r="E159">
        <v>39</v>
      </c>
      <c r="F159">
        <v>0</v>
      </c>
      <c r="G159">
        <v>0</v>
      </c>
      <c r="H159" s="1">
        <f t="shared" si="5"/>
        <v>45720</v>
      </c>
      <c r="I159">
        <f t="shared" si="6"/>
        <v>10</v>
      </c>
    </row>
    <row r="160" spans="1:9" x14ac:dyDescent="0.2">
      <c r="A160">
        <v>20250304</v>
      </c>
      <c r="B160" t="s">
        <v>7</v>
      </c>
      <c r="C160" t="s">
        <v>8</v>
      </c>
      <c r="D160">
        <v>1</v>
      </c>
      <c r="E160">
        <v>13</v>
      </c>
      <c r="F160">
        <v>0</v>
      </c>
      <c r="G160">
        <v>0</v>
      </c>
      <c r="H160" s="1">
        <f t="shared" si="5"/>
        <v>45720</v>
      </c>
      <c r="I160">
        <f t="shared" si="6"/>
        <v>10</v>
      </c>
    </row>
    <row r="161" spans="1:9" x14ac:dyDescent="0.2">
      <c r="A161">
        <v>20250304</v>
      </c>
      <c r="B161" t="s">
        <v>9</v>
      </c>
      <c r="C161" t="s">
        <v>13</v>
      </c>
      <c r="D161">
        <v>1</v>
      </c>
      <c r="E161">
        <v>1</v>
      </c>
      <c r="F161">
        <v>0</v>
      </c>
      <c r="G161">
        <v>0</v>
      </c>
      <c r="H161" s="1">
        <f t="shared" si="5"/>
        <v>45720</v>
      </c>
      <c r="I161">
        <f t="shared" si="6"/>
        <v>10</v>
      </c>
    </row>
    <row r="162" spans="1:9" x14ac:dyDescent="0.2">
      <c r="A162">
        <v>20250305</v>
      </c>
      <c r="B162" t="s">
        <v>16</v>
      </c>
      <c r="C162" t="s">
        <v>28</v>
      </c>
      <c r="D162">
        <v>1</v>
      </c>
      <c r="E162">
        <v>21</v>
      </c>
      <c r="F162">
        <v>0</v>
      </c>
      <c r="G162">
        <v>0</v>
      </c>
      <c r="H162" s="1">
        <f t="shared" si="5"/>
        <v>45721</v>
      </c>
      <c r="I162">
        <f t="shared" si="6"/>
        <v>10</v>
      </c>
    </row>
    <row r="163" spans="1:9" x14ac:dyDescent="0.2">
      <c r="A163">
        <v>20250307</v>
      </c>
      <c r="B163" t="s">
        <v>16</v>
      </c>
      <c r="C163" t="s">
        <v>25</v>
      </c>
      <c r="D163">
        <v>1</v>
      </c>
      <c r="E163">
        <v>45</v>
      </c>
      <c r="F163">
        <v>0</v>
      </c>
      <c r="G163">
        <v>0</v>
      </c>
      <c r="H163" s="1">
        <f t="shared" si="5"/>
        <v>45723</v>
      </c>
      <c r="I163">
        <f t="shared" si="6"/>
        <v>10</v>
      </c>
    </row>
    <row r="164" spans="1:9" x14ac:dyDescent="0.2">
      <c r="A164">
        <v>20250307</v>
      </c>
      <c r="B164" t="s">
        <v>7</v>
      </c>
      <c r="C164" t="s">
        <v>8</v>
      </c>
      <c r="D164">
        <v>1</v>
      </c>
      <c r="E164">
        <v>36</v>
      </c>
      <c r="F164">
        <v>0</v>
      </c>
      <c r="G164">
        <v>0</v>
      </c>
      <c r="H164" s="1">
        <f t="shared" si="5"/>
        <v>45723</v>
      </c>
      <c r="I164">
        <f t="shared" si="6"/>
        <v>10</v>
      </c>
    </row>
    <row r="165" spans="1:9" x14ac:dyDescent="0.2">
      <c r="A165">
        <v>20250307</v>
      </c>
      <c r="B165" t="s">
        <v>9</v>
      </c>
      <c r="C165" t="s">
        <v>8</v>
      </c>
      <c r="D165">
        <v>1</v>
      </c>
      <c r="E165">
        <v>73</v>
      </c>
      <c r="F165">
        <v>0</v>
      </c>
      <c r="G165">
        <v>0</v>
      </c>
      <c r="H165" s="1">
        <f t="shared" si="5"/>
        <v>45723</v>
      </c>
      <c r="I165">
        <f t="shared" si="6"/>
        <v>10</v>
      </c>
    </row>
    <row r="166" spans="1:9" x14ac:dyDescent="0.2">
      <c r="A166">
        <v>20250308</v>
      </c>
      <c r="B166" t="s">
        <v>9</v>
      </c>
      <c r="C166" t="s">
        <v>8</v>
      </c>
      <c r="D166">
        <v>1</v>
      </c>
      <c r="E166">
        <v>35</v>
      </c>
      <c r="F166">
        <v>0</v>
      </c>
      <c r="G166">
        <v>0</v>
      </c>
      <c r="H166" s="1">
        <f t="shared" si="5"/>
        <v>45724</v>
      </c>
      <c r="I166">
        <f t="shared" si="6"/>
        <v>10</v>
      </c>
    </row>
    <row r="167" spans="1:9" x14ac:dyDescent="0.2">
      <c r="A167">
        <v>20250308</v>
      </c>
      <c r="B167" t="s">
        <v>9</v>
      </c>
      <c r="C167" t="s">
        <v>13</v>
      </c>
      <c r="D167">
        <v>1</v>
      </c>
      <c r="E167">
        <v>2</v>
      </c>
      <c r="F167">
        <v>0</v>
      </c>
      <c r="G167">
        <v>0</v>
      </c>
      <c r="H167" s="1">
        <f t="shared" si="5"/>
        <v>45724</v>
      </c>
      <c r="I167">
        <f t="shared" si="6"/>
        <v>10</v>
      </c>
    </row>
    <row r="168" spans="1:9" x14ac:dyDescent="0.2">
      <c r="A168">
        <v>20250309</v>
      </c>
      <c r="B168" t="s">
        <v>7</v>
      </c>
      <c r="C168" t="s">
        <v>8</v>
      </c>
      <c r="D168">
        <v>1</v>
      </c>
      <c r="E168">
        <v>21</v>
      </c>
      <c r="F168">
        <v>0</v>
      </c>
      <c r="G168">
        <v>0</v>
      </c>
      <c r="H168" s="1">
        <f t="shared" si="5"/>
        <v>45725</v>
      </c>
      <c r="I168">
        <f t="shared" si="6"/>
        <v>11</v>
      </c>
    </row>
    <row r="169" spans="1:9" x14ac:dyDescent="0.2">
      <c r="A169">
        <v>20250309</v>
      </c>
      <c r="B169" t="s">
        <v>14</v>
      </c>
      <c r="C169" t="s">
        <v>13</v>
      </c>
      <c r="D169">
        <v>1</v>
      </c>
      <c r="E169">
        <v>37</v>
      </c>
      <c r="F169">
        <v>0</v>
      </c>
      <c r="G169">
        <v>0</v>
      </c>
      <c r="H169" s="1">
        <f t="shared" si="5"/>
        <v>45725</v>
      </c>
      <c r="I169">
        <f t="shared" si="6"/>
        <v>11</v>
      </c>
    </row>
    <row r="170" spans="1:9" x14ac:dyDescent="0.2">
      <c r="A170">
        <v>20250310</v>
      </c>
      <c r="B170" t="s">
        <v>7</v>
      </c>
      <c r="C170" t="s">
        <v>8</v>
      </c>
      <c r="D170">
        <v>6</v>
      </c>
      <c r="E170">
        <v>62</v>
      </c>
      <c r="F170">
        <v>0</v>
      </c>
      <c r="G170">
        <v>0</v>
      </c>
      <c r="H170" s="1">
        <f t="shared" si="5"/>
        <v>45726</v>
      </c>
      <c r="I170">
        <f t="shared" si="6"/>
        <v>11</v>
      </c>
    </row>
    <row r="171" spans="1:9" x14ac:dyDescent="0.2">
      <c r="A171">
        <v>20250310</v>
      </c>
      <c r="B171" t="s">
        <v>9</v>
      </c>
      <c r="C171" t="s">
        <v>13</v>
      </c>
      <c r="D171">
        <v>1</v>
      </c>
      <c r="E171">
        <v>1</v>
      </c>
      <c r="F171">
        <v>0</v>
      </c>
      <c r="G171">
        <v>0</v>
      </c>
      <c r="H171" s="1">
        <f t="shared" si="5"/>
        <v>45726</v>
      </c>
      <c r="I171">
        <f t="shared" si="6"/>
        <v>11</v>
      </c>
    </row>
    <row r="172" spans="1:9" x14ac:dyDescent="0.2">
      <c r="A172">
        <v>20250311</v>
      </c>
      <c r="B172" t="s">
        <v>16</v>
      </c>
      <c r="C172" t="s">
        <v>8</v>
      </c>
      <c r="D172">
        <v>1</v>
      </c>
      <c r="E172">
        <v>15</v>
      </c>
      <c r="F172">
        <v>0</v>
      </c>
      <c r="G172">
        <v>0</v>
      </c>
      <c r="H172" s="1">
        <f t="shared" si="5"/>
        <v>45727</v>
      </c>
      <c r="I172">
        <f t="shared" si="6"/>
        <v>11</v>
      </c>
    </row>
    <row r="173" spans="1:9" x14ac:dyDescent="0.2">
      <c r="A173">
        <v>20250311</v>
      </c>
      <c r="B173" t="s">
        <v>7</v>
      </c>
      <c r="C173" t="s">
        <v>8</v>
      </c>
      <c r="D173">
        <v>2</v>
      </c>
      <c r="E173">
        <v>47</v>
      </c>
      <c r="F173">
        <v>0</v>
      </c>
      <c r="G173">
        <v>0</v>
      </c>
      <c r="H173" s="1">
        <f t="shared" si="5"/>
        <v>45727</v>
      </c>
      <c r="I173">
        <f t="shared" si="6"/>
        <v>11</v>
      </c>
    </row>
    <row r="174" spans="1:9" x14ac:dyDescent="0.2">
      <c r="A174">
        <v>20250311</v>
      </c>
      <c r="B174" t="s">
        <v>10</v>
      </c>
      <c r="C174" t="s">
        <v>17</v>
      </c>
      <c r="D174">
        <v>1</v>
      </c>
      <c r="E174">
        <v>1</v>
      </c>
      <c r="F174">
        <v>0</v>
      </c>
      <c r="G174">
        <v>0</v>
      </c>
      <c r="H174" s="1">
        <f t="shared" si="5"/>
        <v>45727</v>
      </c>
      <c r="I174">
        <f t="shared" si="6"/>
        <v>11</v>
      </c>
    </row>
    <row r="175" spans="1:9" x14ac:dyDescent="0.2">
      <c r="A175">
        <v>20250312</v>
      </c>
      <c r="B175" t="s">
        <v>7</v>
      </c>
      <c r="C175" t="s">
        <v>8</v>
      </c>
      <c r="D175">
        <v>4</v>
      </c>
      <c r="E175">
        <v>13.25</v>
      </c>
      <c r="F175">
        <v>0</v>
      </c>
      <c r="G175">
        <v>0</v>
      </c>
      <c r="H175" s="1">
        <f t="shared" si="5"/>
        <v>45728</v>
      </c>
      <c r="I175">
        <f t="shared" si="6"/>
        <v>11</v>
      </c>
    </row>
    <row r="176" spans="1:9" x14ac:dyDescent="0.2">
      <c r="A176">
        <v>20250312</v>
      </c>
      <c r="B176" t="s">
        <v>7</v>
      </c>
      <c r="C176" t="s">
        <v>13</v>
      </c>
      <c r="D176">
        <v>1</v>
      </c>
      <c r="E176">
        <v>26</v>
      </c>
      <c r="F176">
        <v>0</v>
      </c>
      <c r="G176">
        <v>0</v>
      </c>
      <c r="H176" s="1">
        <f t="shared" si="5"/>
        <v>45728</v>
      </c>
      <c r="I176">
        <f t="shared" si="6"/>
        <v>11</v>
      </c>
    </row>
    <row r="177" spans="1:9" x14ac:dyDescent="0.2">
      <c r="A177">
        <v>20250312</v>
      </c>
      <c r="B177" t="s">
        <v>10</v>
      </c>
      <c r="C177" t="s">
        <v>8</v>
      </c>
      <c r="D177">
        <v>3</v>
      </c>
      <c r="E177">
        <v>12</v>
      </c>
      <c r="F177">
        <v>0</v>
      </c>
      <c r="G177">
        <v>0</v>
      </c>
      <c r="H177" s="1">
        <f t="shared" si="5"/>
        <v>45728</v>
      </c>
      <c r="I177">
        <f t="shared" si="6"/>
        <v>11</v>
      </c>
    </row>
    <row r="178" spans="1:9" x14ac:dyDescent="0.2">
      <c r="A178">
        <v>20250313</v>
      </c>
      <c r="B178" t="s">
        <v>19</v>
      </c>
      <c r="C178" t="s">
        <v>8</v>
      </c>
      <c r="D178">
        <v>1</v>
      </c>
      <c r="E178">
        <v>36</v>
      </c>
      <c r="F178">
        <v>0</v>
      </c>
      <c r="G178">
        <v>0</v>
      </c>
      <c r="H178" s="1">
        <f t="shared" si="5"/>
        <v>45729</v>
      </c>
      <c r="I178">
        <f t="shared" si="6"/>
        <v>11</v>
      </c>
    </row>
    <row r="179" spans="1:9" x14ac:dyDescent="0.2">
      <c r="A179">
        <v>20250313</v>
      </c>
      <c r="B179" t="s">
        <v>7</v>
      </c>
      <c r="C179" t="s">
        <v>8</v>
      </c>
      <c r="D179">
        <v>4</v>
      </c>
      <c r="E179">
        <v>14.5</v>
      </c>
      <c r="F179">
        <v>0</v>
      </c>
      <c r="G179">
        <v>0</v>
      </c>
      <c r="H179" s="1">
        <f t="shared" si="5"/>
        <v>45729</v>
      </c>
      <c r="I179">
        <f t="shared" si="6"/>
        <v>11</v>
      </c>
    </row>
    <row r="180" spans="1:9" x14ac:dyDescent="0.2">
      <c r="A180">
        <v>20250313</v>
      </c>
      <c r="B180" t="s">
        <v>7</v>
      </c>
      <c r="C180" t="s">
        <v>24</v>
      </c>
      <c r="D180">
        <v>2</v>
      </c>
      <c r="E180">
        <v>44.5</v>
      </c>
      <c r="F180">
        <v>0</v>
      </c>
      <c r="G180">
        <v>0</v>
      </c>
      <c r="H180" s="1">
        <f t="shared" si="5"/>
        <v>45729</v>
      </c>
      <c r="I180">
        <f t="shared" si="6"/>
        <v>11</v>
      </c>
    </row>
    <row r="181" spans="1:9" x14ac:dyDescent="0.2">
      <c r="A181">
        <v>20250313</v>
      </c>
      <c r="B181" t="s">
        <v>10</v>
      </c>
      <c r="C181" t="s">
        <v>8</v>
      </c>
      <c r="D181">
        <v>2</v>
      </c>
      <c r="E181">
        <v>10.5</v>
      </c>
      <c r="F181">
        <v>0</v>
      </c>
      <c r="G181">
        <v>0</v>
      </c>
      <c r="H181" s="1">
        <f t="shared" si="5"/>
        <v>45729</v>
      </c>
      <c r="I181">
        <f t="shared" si="6"/>
        <v>11</v>
      </c>
    </row>
    <row r="182" spans="1:9" x14ac:dyDescent="0.2">
      <c r="A182">
        <v>20250313</v>
      </c>
      <c r="B182" t="s">
        <v>10</v>
      </c>
      <c r="C182" t="s">
        <v>13</v>
      </c>
      <c r="D182">
        <v>1</v>
      </c>
      <c r="E182">
        <v>1</v>
      </c>
      <c r="F182">
        <v>0</v>
      </c>
      <c r="G182">
        <v>0</v>
      </c>
      <c r="H182" s="1">
        <f t="shared" si="5"/>
        <v>45729</v>
      </c>
      <c r="I182">
        <f t="shared" si="6"/>
        <v>11</v>
      </c>
    </row>
    <row r="183" spans="1:9" x14ac:dyDescent="0.2">
      <c r="A183">
        <v>20250314</v>
      </c>
      <c r="B183" t="s">
        <v>19</v>
      </c>
      <c r="C183" t="s">
        <v>8</v>
      </c>
      <c r="D183">
        <v>4</v>
      </c>
      <c r="E183">
        <v>1</v>
      </c>
      <c r="F183">
        <v>0</v>
      </c>
      <c r="G183">
        <v>1</v>
      </c>
      <c r="H183" s="1">
        <f t="shared" si="5"/>
        <v>45730</v>
      </c>
      <c r="I183">
        <f t="shared" si="6"/>
        <v>11</v>
      </c>
    </row>
    <row r="184" spans="1:9" x14ac:dyDescent="0.2">
      <c r="A184">
        <v>20250314</v>
      </c>
      <c r="B184" t="s">
        <v>9</v>
      </c>
      <c r="C184" t="s">
        <v>13</v>
      </c>
      <c r="D184">
        <v>6</v>
      </c>
      <c r="E184">
        <v>1</v>
      </c>
      <c r="F184">
        <v>0</v>
      </c>
      <c r="G184">
        <v>0</v>
      </c>
      <c r="H184" s="1">
        <f t="shared" si="5"/>
        <v>45730</v>
      </c>
      <c r="I184">
        <f t="shared" si="6"/>
        <v>11</v>
      </c>
    </row>
    <row r="185" spans="1:9" x14ac:dyDescent="0.2">
      <c r="A185">
        <v>20250314</v>
      </c>
      <c r="B185" t="s">
        <v>10</v>
      </c>
      <c r="C185" t="s">
        <v>13</v>
      </c>
      <c r="D185">
        <v>3</v>
      </c>
      <c r="E185">
        <v>1</v>
      </c>
      <c r="F185">
        <v>0</v>
      </c>
      <c r="G185">
        <v>0</v>
      </c>
      <c r="H185" s="1">
        <f t="shared" si="5"/>
        <v>45730</v>
      </c>
      <c r="I185">
        <f t="shared" si="6"/>
        <v>11</v>
      </c>
    </row>
    <row r="186" spans="1:9" x14ac:dyDescent="0.2">
      <c r="A186">
        <v>20250315</v>
      </c>
      <c r="B186" t="s">
        <v>16</v>
      </c>
      <c r="C186" t="s">
        <v>8</v>
      </c>
      <c r="D186">
        <v>2</v>
      </c>
      <c r="E186">
        <v>1</v>
      </c>
      <c r="F186">
        <v>0</v>
      </c>
      <c r="G186">
        <v>0</v>
      </c>
      <c r="H186" s="1">
        <f t="shared" si="5"/>
        <v>45731</v>
      </c>
      <c r="I186">
        <f t="shared" si="6"/>
        <v>11</v>
      </c>
    </row>
    <row r="187" spans="1:9" x14ac:dyDescent="0.2">
      <c r="A187">
        <v>20250315</v>
      </c>
      <c r="B187" t="s">
        <v>9</v>
      </c>
      <c r="C187" t="s">
        <v>18</v>
      </c>
      <c r="D187">
        <v>4</v>
      </c>
      <c r="E187">
        <v>2</v>
      </c>
      <c r="F187">
        <v>0</v>
      </c>
      <c r="G187">
        <v>0</v>
      </c>
      <c r="H187" s="1">
        <f t="shared" si="5"/>
        <v>45731</v>
      </c>
      <c r="I187">
        <f t="shared" si="6"/>
        <v>11</v>
      </c>
    </row>
    <row r="188" spans="1:9" x14ac:dyDescent="0.2">
      <c r="A188">
        <v>20250315</v>
      </c>
      <c r="B188" t="s">
        <v>9</v>
      </c>
      <c r="C188" t="s">
        <v>13</v>
      </c>
      <c r="D188">
        <v>1</v>
      </c>
      <c r="E188">
        <v>1</v>
      </c>
      <c r="F188">
        <v>0</v>
      </c>
      <c r="G188">
        <v>0</v>
      </c>
      <c r="H188" s="1">
        <f t="shared" si="5"/>
        <v>45731</v>
      </c>
      <c r="I188">
        <f t="shared" si="6"/>
        <v>11</v>
      </c>
    </row>
    <row r="189" spans="1:9" x14ac:dyDescent="0.2">
      <c r="A189">
        <v>20250315</v>
      </c>
      <c r="B189" t="s">
        <v>10</v>
      </c>
      <c r="C189" t="s">
        <v>13</v>
      </c>
      <c r="D189">
        <v>5</v>
      </c>
      <c r="E189">
        <v>33.4</v>
      </c>
      <c r="F189">
        <v>0</v>
      </c>
      <c r="G189">
        <v>3</v>
      </c>
      <c r="H189" s="1">
        <f t="shared" si="5"/>
        <v>45731</v>
      </c>
      <c r="I189">
        <f t="shared" si="6"/>
        <v>11</v>
      </c>
    </row>
    <row r="190" spans="1:9" x14ac:dyDescent="0.2">
      <c r="A190">
        <v>20250316</v>
      </c>
      <c r="B190" t="s">
        <v>7</v>
      </c>
      <c r="C190" t="s">
        <v>8</v>
      </c>
      <c r="D190">
        <v>1</v>
      </c>
      <c r="E190">
        <v>1</v>
      </c>
      <c r="F190">
        <v>0</v>
      </c>
      <c r="G190">
        <v>0</v>
      </c>
      <c r="H190" s="1">
        <f t="shared" si="5"/>
        <v>45732</v>
      </c>
      <c r="I190">
        <f t="shared" si="6"/>
        <v>12</v>
      </c>
    </row>
    <row r="191" spans="1:9" x14ac:dyDescent="0.2">
      <c r="A191">
        <v>20250316</v>
      </c>
      <c r="B191" t="s">
        <v>23</v>
      </c>
      <c r="C191" t="s">
        <v>13</v>
      </c>
      <c r="D191">
        <v>1</v>
      </c>
      <c r="E191">
        <v>79</v>
      </c>
      <c r="F191">
        <v>0</v>
      </c>
      <c r="G191">
        <v>0</v>
      </c>
      <c r="H191" s="1">
        <f t="shared" si="5"/>
        <v>45732</v>
      </c>
      <c r="I191">
        <f t="shared" si="6"/>
        <v>12</v>
      </c>
    </row>
    <row r="192" spans="1:9" x14ac:dyDescent="0.2">
      <c r="A192">
        <v>20250316</v>
      </c>
      <c r="B192" t="s">
        <v>9</v>
      </c>
      <c r="C192" t="s">
        <v>13</v>
      </c>
      <c r="D192">
        <v>2</v>
      </c>
      <c r="E192">
        <v>1</v>
      </c>
      <c r="F192">
        <v>0</v>
      </c>
      <c r="G192">
        <v>0</v>
      </c>
      <c r="H192" s="1">
        <f t="shared" si="5"/>
        <v>45732</v>
      </c>
      <c r="I192">
        <f t="shared" si="6"/>
        <v>12</v>
      </c>
    </row>
    <row r="193" spans="1:9" x14ac:dyDescent="0.2">
      <c r="A193">
        <v>20250316</v>
      </c>
      <c r="B193" t="s">
        <v>10</v>
      </c>
      <c r="C193" t="s">
        <v>8</v>
      </c>
      <c r="D193">
        <v>1</v>
      </c>
      <c r="E193">
        <v>12</v>
      </c>
      <c r="F193">
        <v>0</v>
      </c>
      <c r="G193">
        <v>0</v>
      </c>
      <c r="H193" s="1">
        <f t="shared" si="5"/>
        <v>45732</v>
      </c>
      <c r="I193">
        <f t="shared" si="6"/>
        <v>12</v>
      </c>
    </row>
    <row r="194" spans="1:9" x14ac:dyDescent="0.2">
      <c r="A194">
        <v>20250317</v>
      </c>
      <c r="B194" t="s">
        <v>16</v>
      </c>
      <c r="C194" t="s">
        <v>8</v>
      </c>
      <c r="D194">
        <v>1</v>
      </c>
      <c r="E194">
        <v>36</v>
      </c>
      <c r="F194">
        <v>0</v>
      </c>
      <c r="G194">
        <v>0</v>
      </c>
      <c r="H194" s="1">
        <f t="shared" ref="H194:H257" si="7">DATE(LEFT(A194,4),MID(A194,5,2),RIGHT(A194,2))</f>
        <v>45733</v>
      </c>
      <c r="I194">
        <f t="shared" ref="I194:I257" si="8">WEEKNUM(H194)</f>
        <v>12</v>
      </c>
    </row>
    <row r="195" spans="1:9" x14ac:dyDescent="0.2">
      <c r="A195">
        <v>20250318</v>
      </c>
      <c r="B195" t="s">
        <v>19</v>
      </c>
      <c r="C195" t="s">
        <v>8</v>
      </c>
      <c r="D195">
        <v>2</v>
      </c>
      <c r="E195">
        <v>1</v>
      </c>
      <c r="F195">
        <v>0</v>
      </c>
      <c r="G195">
        <v>0</v>
      </c>
      <c r="H195" s="1">
        <f t="shared" si="7"/>
        <v>45734</v>
      </c>
      <c r="I195">
        <f t="shared" si="8"/>
        <v>12</v>
      </c>
    </row>
    <row r="196" spans="1:9" x14ac:dyDescent="0.2">
      <c r="A196">
        <v>20250318</v>
      </c>
      <c r="B196" t="s">
        <v>7</v>
      </c>
      <c r="C196" t="s">
        <v>8</v>
      </c>
      <c r="D196">
        <v>1</v>
      </c>
      <c r="E196">
        <v>66</v>
      </c>
      <c r="F196">
        <v>0</v>
      </c>
      <c r="G196">
        <v>0</v>
      </c>
      <c r="H196" s="1">
        <f t="shared" si="7"/>
        <v>45734</v>
      </c>
      <c r="I196">
        <f t="shared" si="8"/>
        <v>12</v>
      </c>
    </row>
    <row r="197" spans="1:9" x14ac:dyDescent="0.2">
      <c r="A197">
        <v>20250318</v>
      </c>
      <c r="B197" t="s">
        <v>9</v>
      </c>
      <c r="C197" t="s">
        <v>8</v>
      </c>
      <c r="D197">
        <v>2</v>
      </c>
      <c r="E197">
        <v>6</v>
      </c>
      <c r="F197">
        <v>0</v>
      </c>
      <c r="G197">
        <v>0</v>
      </c>
      <c r="H197" s="1">
        <f t="shared" si="7"/>
        <v>45734</v>
      </c>
      <c r="I197">
        <f t="shared" si="8"/>
        <v>12</v>
      </c>
    </row>
    <row r="198" spans="1:9" x14ac:dyDescent="0.2">
      <c r="A198">
        <v>20250318</v>
      </c>
      <c r="B198" t="s">
        <v>10</v>
      </c>
      <c r="C198" t="s">
        <v>26</v>
      </c>
      <c r="D198">
        <v>3</v>
      </c>
      <c r="E198">
        <v>1</v>
      </c>
      <c r="F198">
        <v>0</v>
      </c>
      <c r="G198">
        <v>1</v>
      </c>
      <c r="H198" s="1">
        <f t="shared" si="7"/>
        <v>45734</v>
      </c>
      <c r="I198">
        <f t="shared" si="8"/>
        <v>12</v>
      </c>
    </row>
    <row r="199" spans="1:9" x14ac:dyDescent="0.2">
      <c r="A199">
        <v>20250318</v>
      </c>
      <c r="B199" t="s">
        <v>10</v>
      </c>
      <c r="C199" t="s">
        <v>28</v>
      </c>
      <c r="D199">
        <v>1</v>
      </c>
      <c r="E199">
        <v>23</v>
      </c>
      <c r="F199">
        <v>0</v>
      </c>
      <c r="G199">
        <v>0</v>
      </c>
      <c r="H199" s="1">
        <f t="shared" si="7"/>
        <v>45734</v>
      </c>
      <c r="I199">
        <f t="shared" si="8"/>
        <v>12</v>
      </c>
    </row>
    <row r="200" spans="1:9" x14ac:dyDescent="0.2">
      <c r="A200">
        <v>20250319</v>
      </c>
      <c r="B200" t="s">
        <v>19</v>
      </c>
      <c r="C200" t="s">
        <v>8</v>
      </c>
      <c r="D200">
        <v>1</v>
      </c>
      <c r="E200">
        <v>1</v>
      </c>
      <c r="F200">
        <v>0</v>
      </c>
      <c r="G200">
        <v>0</v>
      </c>
      <c r="H200" s="1">
        <f t="shared" si="7"/>
        <v>45735</v>
      </c>
      <c r="I200">
        <f t="shared" si="8"/>
        <v>12</v>
      </c>
    </row>
    <row r="201" spans="1:9" x14ac:dyDescent="0.2">
      <c r="A201">
        <v>20250319</v>
      </c>
      <c r="B201" t="s">
        <v>12</v>
      </c>
      <c r="C201" t="s">
        <v>8</v>
      </c>
      <c r="D201">
        <v>3</v>
      </c>
      <c r="E201">
        <v>2</v>
      </c>
      <c r="F201">
        <v>0</v>
      </c>
      <c r="G201">
        <v>0</v>
      </c>
      <c r="H201" s="1">
        <f t="shared" si="7"/>
        <v>45735</v>
      </c>
      <c r="I201">
        <f t="shared" si="8"/>
        <v>12</v>
      </c>
    </row>
    <row r="202" spans="1:9" x14ac:dyDescent="0.2">
      <c r="A202">
        <v>20250319</v>
      </c>
      <c r="B202" t="s">
        <v>7</v>
      </c>
      <c r="C202" t="s">
        <v>8</v>
      </c>
      <c r="D202">
        <v>1</v>
      </c>
      <c r="E202">
        <v>13</v>
      </c>
      <c r="F202">
        <v>0</v>
      </c>
      <c r="G202">
        <v>0</v>
      </c>
      <c r="H202" s="1">
        <f t="shared" si="7"/>
        <v>45735</v>
      </c>
      <c r="I202">
        <f t="shared" si="8"/>
        <v>12</v>
      </c>
    </row>
    <row r="203" spans="1:9" x14ac:dyDescent="0.2">
      <c r="A203">
        <v>20250320</v>
      </c>
      <c r="B203" t="s">
        <v>10</v>
      </c>
      <c r="C203" t="s">
        <v>8</v>
      </c>
      <c r="D203">
        <v>1</v>
      </c>
      <c r="E203">
        <v>27</v>
      </c>
      <c r="F203">
        <v>0</v>
      </c>
      <c r="G203">
        <v>0</v>
      </c>
      <c r="H203" s="1">
        <f t="shared" si="7"/>
        <v>45736</v>
      </c>
      <c r="I203">
        <f t="shared" si="8"/>
        <v>12</v>
      </c>
    </row>
    <row r="204" spans="1:9" x14ac:dyDescent="0.2">
      <c r="A204">
        <v>20250321</v>
      </c>
      <c r="B204" t="s">
        <v>10</v>
      </c>
      <c r="C204" t="s">
        <v>8</v>
      </c>
      <c r="D204">
        <v>2</v>
      </c>
      <c r="E204">
        <v>40</v>
      </c>
      <c r="F204">
        <v>0</v>
      </c>
      <c r="G204">
        <v>0</v>
      </c>
      <c r="H204" s="1">
        <f t="shared" si="7"/>
        <v>45737</v>
      </c>
      <c r="I204">
        <f t="shared" si="8"/>
        <v>12</v>
      </c>
    </row>
    <row r="205" spans="1:9" x14ac:dyDescent="0.2">
      <c r="A205">
        <v>20250321</v>
      </c>
      <c r="B205" t="s">
        <v>10</v>
      </c>
      <c r="C205" t="s">
        <v>26</v>
      </c>
      <c r="D205">
        <v>1</v>
      </c>
      <c r="E205">
        <v>2</v>
      </c>
      <c r="F205">
        <v>0</v>
      </c>
      <c r="G205">
        <v>0</v>
      </c>
      <c r="H205" s="1">
        <f t="shared" si="7"/>
        <v>45737</v>
      </c>
      <c r="I205">
        <f t="shared" si="8"/>
        <v>12</v>
      </c>
    </row>
    <row r="206" spans="1:9" x14ac:dyDescent="0.2">
      <c r="A206">
        <v>20250322</v>
      </c>
      <c r="B206" t="s">
        <v>7</v>
      </c>
      <c r="C206" t="s">
        <v>8</v>
      </c>
      <c r="D206">
        <v>2</v>
      </c>
      <c r="E206">
        <v>15</v>
      </c>
      <c r="F206">
        <v>0</v>
      </c>
      <c r="G206">
        <v>0</v>
      </c>
      <c r="H206" s="1">
        <f t="shared" si="7"/>
        <v>45738</v>
      </c>
      <c r="I206">
        <f t="shared" si="8"/>
        <v>12</v>
      </c>
    </row>
    <row r="207" spans="1:9" x14ac:dyDescent="0.2">
      <c r="A207">
        <v>20250322</v>
      </c>
      <c r="B207" t="s">
        <v>23</v>
      </c>
      <c r="C207" t="s">
        <v>27</v>
      </c>
      <c r="D207">
        <v>3</v>
      </c>
      <c r="E207">
        <v>2</v>
      </c>
      <c r="F207">
        <v>0</v>
      </c>
      <c r="G207">
        <v>0</v>
      </c>
      <c r="H207" s="1">
        <f t="shared" si="7"/>
        <v>45738</v>
      </c>
      <c r="I207">
        <f t="shared" si="8"/>
        <v>12</v>
      </c>
    </row>
    <row r="208" spans="1:9" x14ac:dyDescent="0.2">
      <c r="A208">
        <v>20250323</v>
      </c>
      <c r="B208" t="s">
        <v>7</v>
      </c>
      <c r="C208" t="s">
        <v>8</v>
      </c>
      <c r="D208">
        <v>2</v>
      </c>
      <c r="E208">
        <v>14</v>
      </c>
      <c r="F208">
        <v>0</v>
      </c>
      <c r="G208">
        <v>0</v>
      </c>
      <c r="H208" s="1">
        <f t="shared" si="7"/>
        <v>45739</v>
      </c>
      <c r="I208">
        <f t="shared" si="8"/>
        <v>13</v>
      </c>
    </row>
    <row r="209" spans="1:9" x14ac:dyDescent="0.2">
      <c r="A209">
        <v>20250323</v>
      </c>
      <c r="B209" t="s">
        <v>9</v>
      </c>
      <c r="C209" t="s">
        <v>28</v>
      </c>
      <c r="D209">
        <v>1</v>
      </c>
      <c r="E209">
        <v>38</v>
      </c>
      <c r="F209">
        <v>0</v>
      </c>
      <c r="G209">
        <v>0</v>
      </c>
      <c r="H209" s="1">
        <f t="shared" si="7"/>
        <v>45739</v>
      </c>
      <c r="I209">
        <f t="shared" si="8"/>
        <v>13</v>
      </c>
    </row>
    <row r="210" spans="1:9" x14ac:dyDescent="0.2">
      <c r="A210">
        <v>20250324</v>
      </c>
      <c r="B210" t="s">
        <v>9</v>
      </c>
      <c r="C210" t="s">
        <v>13</v>
      </c>
      <c r="D210">
        <v>3</v>
      </c>
      <c r="E210">
        <v>2</v>
      </c>
      <c r="F210">
        <v>0</v>
      </c>
      <c r="G210">
        <v>1</v>
      </c>
      <c r="H210" s="1">
        <f t="shared" si="7"/>
        <v>45740</v>
      </c>
      <c r="I210">
        <f t="shared" si="8"/>
        <v>13</v>
      </c>
    </row>
    <row r="211" spans="1:9" x14ac:dyDescent="0.2">
      <c r="A211">
        <v>20250325</v>
      </c>
      <c r="B211" t="s">
        <v>7</v>
      </c>
      <c r="C211" t="s">
        <v>8</v>
      </c>
      <c r="D211">
        <v>1</v>
      </c>
      <c r="E211">
        <v>4</v>
      </c>
      <c r="F211">
        <v>0</v>
      </c>
      <c r="G211">
        <v>0</v>
      </c>
      <c r="H211" s="1">
        <f t="shared" si="7"/>
        <v>45741</v>
      </c>
      <c r="I211">
        <f t="shared" si="8"/>
        <v>13</v>
      </c>
    </row>
    <row r="212" spans="1:9" x14ac:dyDescent="0.2">
      <c r="A212">
        <v>20250325</v>
      </c>
      <c r="B212" t="s">
        <v>10</v>
      </c>
      <c r="C212" t="s">
        <v>26</v>
      </c>
      <c r="D212">
        <v>1</v>
      </c>
      <c r="E212">
        <v>80</v>
      </c>
      <c r="F212">
        <v>0</v>
      </c>
      <c r="G212">
        <v>0</v>
      </c>
      <c r="H212" s="1">
        <f t="shared" si="7"/>
        <v>45741</v>
      </c>
      <c r="I212">
        <f t="shared" si="8"/>
        <v>13</v>
      </c>
    </row>
    <row r="213" spans="1:9" x14ac:dyDescent="0.2">
      <c r="A213">
        <v>20250326</v>
      </c>
      <c r="B213" t="s">
        <v>7</v>
      </c>
      <c r="C213" t="s">
        <v>8</v>
      </c>
      <c r="D213">
        <v>1</v>
      </c>
      <c r="E213">
        <v>63</v>
      </c>
      <c r="F213">
        <v>0</v>
      </c>
      <c r="G213">
        <v>0</v>
      </c>
      <c r="H213" s="1">
        <f t="shared" si="7"/>
        <v>45742</v>
      </c>
      <c r="I213">
        <f t="shared" si="8"/>
        <v>13</v>
      </c>
    </row>
    <row r="214" spans="1:9" x14ac:dyDescent="0.2">
      <c r="A214">
        <v>20250326</v>
      </c>
      <c r="B214" t="s">
        <v>10</v>
      </c>
      <c r="C214" t="s">
        <v>24</v>
      </c>
      <c r="D214">
        <v>2</v>
      </c>
      <c r="E214">
        <v>31</v>
      </c>
      <c r="F214">
        <v>0</v>
      </c>
      <c r="G214">
        <v>0</v>
      </c>
      <c r="H214" s="1">
        <f t="shared" si="7"/>
        <v>45742</v>
      </c>
      <c r="I214">
        <f t="shared" si="8"/>
        <v>13</v>
      </c>
    </row>
    <row r="215" spans="1:9" x14ac:dyDescent="0.2">
      <c r="A215">
        <v>20250327</v>
      </c>
      <c r="B215" t="s">
        <v>7</v>
      </c>
      <c r="C215" t="s">
        <v>8</v>
      </c>
      <c r="D215">
        <v>5</v>
      </c>
      <c r="E215">
        <v>33</v>
      </c>
      <c r="F215">
        <v>0</v>
      </c>
      <c r="G215">
        <v>0</v>
      </c>
      <c r="H215" s="1">
        <f t="shared" si="7"/>
        <v>45743</v>
      </c>
      <c r="I215">
        <f t="shared" si="8"/>
        <v>13</v>
      </c>
    </row>
    <row r="216" spans="1:9" x14ac:dyDescent="0.2">
      <c r="A216">
        <v>20250327</v>
      </c>
      <c r="B216" t="s">
        <v>10</v>
      </c>
      <c r="C216" t="s">
        <v>22</v>
      </c>
      <c r="D216">
        <v>4</v>
      </c>
      <c r="E216">
        <v>2</v>
      </c>
      <c r="F216">
        <v>0</v>
      </c>
      <c r="G216">
        <v>0</v>
      </c>
      <c r="H216" s="1">
        <f t="shared" si="7"/>
        <v>45743</v>
      </c>
      <c r="I216">
        <f t="shared" si="8"/>
        <v>13</v>
      </c>
    </row>
    <row r="217" spans="1:9" x14ac:dyDescent="0.2">
      <c r="A217">
        <v>20250327</v>
      </c>
      <c r="B217" t="s">
        <v>10</v>
      </c>
      <c r="C217" t="s">
        <v>8</v>
      </c>
      <c r="D217">
        <v>1</v>
      </c>
      <c r="E217">
        <v>29</v>
      </c>
      <c r="F217">
        <v>0</v>
      </c>
      <c r="G217">
        <v>0</v>
      </c>
      <c r="H217" s="1">
        <f t="shared" si="7"/>
        <v>45743</v>
      </c>
      <c r="I217">
        <f t="shared" si="8"/>
        <v>13</v>
      </c>
    </row>
    <row r="218" spans="1:9" x14ac:dyDescent="0.2">
      <c r="A218">
        <v>20250328</v>
      </c>
      <c r="B218" t="s">
        <v>12</v>
      </c>
      <c r="C218" t="s">
        <v>20</v>
      </c>
      <c r="D218">
        <v>4</v>
      </c>
      <c r="E218">
        <v>36.25</v>
      </c>
      <c r="F218">
        <v>0</v>
      </c>
      <c r="G218">
        <v>0</v>
      </c>
      <c r="H218" s="1">
        <f t="shared" si="7"/>
        <v>45744</v>
      </c>
      <c r="I218">
        <f t="shared" si="8"/>
        <v>13</v>
      </c>
    </row>
    <row r="219" spans="1:9" x14ac:dyDescent="0.2">
      <c r="A219">
        <v>20250328</v>
      </c>
      <c r="B219" t="s">
        <v>7</v>
      </c>
      <c r="C219" t="s">
        <v>8</v>
      </c>
      <c r="D219">
        <v>1</v>
      </c>
      <c r="E219">
        <v>13</v>
      </c>
      <c r="F219">
        <v>0</v>
      </c>
      <c r="G219">
        <v>0</v>
      </c>
      <c r="H219" s="1">
        <f t="shared" si="7"/>
        <v>45744</v>
      </c>
      <c r="I219">
        <f t="shared" si="8"/>
        <v>13</v>
      </c>
    </row>
    <row r="220" spans="1:9" x14ac:dyDescent="0.2">
      <c r="A220">
        <v>20250328</v>
      </c>
      <c r="B220" t="s">
        <v>23</v>
      </c>
      <c r="C220" t="s">
        <v>8</v>
      </c>
      <c r="D220">
        <v>2</v>
      </c>
      <c r="E220">
        <v>8</v>
      </c>
      <c r="F220">
        <v>0</v>
      </c>
      <c r="G220">
        <v>0</v>
      </c>
      <c r="H220" s="1">
        <f t="shared" si="7"/>
        <v>45744</v>
      </c>
      <c r="I220">
        <f t="shared" si="8"/>
        <v>13</v>
      </c>
    </row>
    <row r="221" spans="1:9" x14ac:dyDescent="0.2">
      <c r="A221">
        <v>20250328</v>
      </c>
      <c r="B221" t="s">
        <v>9</v>
      </c>
      <c r="C221" t="s">
        <v>13</v>
      </c>
      <c r="D221">
        <v>2</v>
      </c>
      <c r="E221">
        <v>18.5</v>
      </c>
      <c r="F221">
        <v>0</v>
      </c>
      <c r="G221">
        <v>0</v>
      </c>
      <c r="H221" s="1">
        <f t="shared" si="7"/>
        <v>45744</v>
      </c>
      <c r="I221">
        <f t="shared" si="8"/>
        <v>13</v>
      </c>
    </row>
    <row r="222" spans="1:9" x14ac:dyDescent="0.2">
      <c r="A222">
        <v>20250328</v>
      </c>
      <c r="B222" t="s">
        <v>9</v>
      </c>
      <c r="C222" t="s">
        <v>8</v>
      </c>
      <c r="D222">
        <v>1</v>
      </c>
      <c r="E222">
        <v>39</v>
      </c>
      <c r="F222">
        <v>0</v>
      </c>
      <c r="G222">
        <v>0</v>
      </c>
      <c r="H222" s="1">
        <f t="shared" si="7"/>
        <v>45744</v>
      </c>
      <c r="I222">
        <f t="shared" si="8"/>
        <v>13</v>
      </c>
    </row>
    <row r="223" spans="1:9" x14ac:dyDescent="0.2">
      <c r="A223">
        <v>20250329</v>
      </c>
      <c r="B223" t="s">
        <v>7</v>
      </c>
      <c r="C223" t="s">
        <v>8</v>
      </c>
      <c r="D223">
        <v>1</v>
      </c>
      <c r="E223">
        <v>35</v>
      </c>
      <c r="F223">
        <v>0</v>
      </c>
      <c r="G223">
        <v>0</v>
      </c>
      <c r="H223" s="1">
        <f t="shared" si="7"/>
        <v>45745</v>
      </c>
      <c r="I223">
        <f t="shared" si="8"/>
        <v>13</v>
      </c>
    </row>
    <row r="224" spans="1:9" x14ac:dyDescent="0.2">
      <c r="A224">
        <v>20250329</v>
      </c>
      <c r="B224" t="s">
        <v>7</v>
      </c>
      <c r="C224" t="s">
        <v>22</v>
      </c>
      <c r="D224">
        <v>1</v>
      </c>
      <c r="E224">
        <v>18</v>
      </c>
      <c r="F224">
        <v>0</v>
      </c>
      <c r="G224">
        <v>0</v>
      </c>
      <c r="H224" s="1">
        <f t="shared" si="7"/>
        <v>45745</v>
      </c>
      <c r="I224">
        <f t="shared" si="8"/>
        <v>13</v>
      </c>
    </row>
    <row r="225" spans="1:9" x14ac:dyDescent="0.2">
      <c r="A225">
        <v>20250329</v>
      </c>
      <c r="B225" t="s">
        <v>9</v>
      </c>
      <c r="C225" t="s">
        <v>13</v>
      </c>
      <c r="D225">
        <v>1</v>
      </c>
      <c r="E225">
        <v>1</v>
      </c>
      <c r="F225">
        <v>0</v>
      </c>
      <c r="G225">
        <v>0</v>
      </c>
      <c r="H225" s="1">
        <f t="shared" si="7"/>
        <v>45745</v>
      </c>
      <c r="I225">
        <f t="shared" si="8"/>
        <v>13</v>
      </c>
    </row>
    <row r="226" spans="1:9" x14ac:dyDescent="0.2">
      <c r="A226">
        <v>20250329</v>
      </c>
      <c r="B226" t="s">
        <v>9</v>
      </c>
      <c r="C226" t="s">
        <v>15</v>
      </c>
      <c r="D226">
        <v>1</v>
      </c>
      <c r="E226">
        <v>2</v>
      </c>
      <c r="F226">
        <v>0</v>
      </c>
      <c r="G226">
        <v>0</v>
      </c>
      <c r="H226" s="1">
        <f t="shared" si="7"/>
        <v>45745</v>
      </c>
      <c r="I226">
        <f t="shared" si="8"/>
        <v>13</v>
      </c>
    </row>
    <row r="227" spans="1:9" x14ac:dyDescent="0.2">
      <c r="A227">
        <v>20250329</v>
      </c>
      <c r="B227" t="s">
        <v>10</v>
      </c>
      <c r="C227" t="s">
        <v>26</v>
      </c>
      <c r="D227">
        <v>1</v>
      </c>
      <c r="E227">
        <v>44</v>
      </c>
      <c r="F227">
        <v>0</v>
      </c>
      <c r="G227">
        <v>0</v>
      </c>
      <c r="H227" s="1">
        <f t="shared" si="7"/>
        <v>45745</v>
      </c>
      <c r="I227">
        <f t="shared" si="8"/>
        <v>13</v>
      </c>
    </row>
    <row r="228" spans="1:9" x14ac:dyDescent="0.2">
      <c r="A228">
        <v>20250330</v>
      </c>
      <c r="B228" t="s">
        <v>16</v>
      </c>
      <c r="C228" t="s">
        <v>8</v>
      </c>
      <c r="D228">
        <v>1</v>
      </c>
      <c r="E228">
        <v>24</v>
      </c>
      <c r="F228">
        <v>0</v>
      </c>
      <c r="G228">
        <v>0</v>
      </c>
      <c r="H228" s="1">
        <f t="shared" si="7"/>
        <v>45746</v>
      </c>
      <c r="I228">
        <f t="shared" si="8"/>
        <v>14</v>
      </c>
    </row>
    <row r="229" spans="1:9" x14ac:dyDescent="0.2">
      <c r="A229">
        <v>20250330</v>
      </c>
      <c r="B229" t="s">
        <v>7</v>
      </c>
      <c r="C229" t="s">
        <v>8</v>
      </c>
      <c r="D229">
        <v>3</v>
      </c>
      <c r="E229">
        <v>11</v>
      </c>
      <c r="F229">
        <v>0</v>
      </c>
      <c r="G229">
        <v>0</v>
      </c>
      <c r="H229" s="1">
        <f t="shared" si="7"/>
        <v>45746</v>
      </c>
      <c r="I229">
        <f t="shared" si="8"/>
        <v>14</v>
      </c>
    </row>
    <row r="230" spans="1:9" x14ac:dyDescent="0.2">
      <c r="A230">
        <v>20250330</v>
      </c>
      <c r="B230" t="s">
        <v>10</v>
      </c>
      <c r="C230" t="s">
        <v>11</v>
      </c>
      <c r="D230">
        <v>1</v>
      </c>
      <c r="E230">
        <v>38</v>
      </c>
      <c r="F230">
        <v>0</v>
      </c>
      <c r="G230">
        <v>0</v>
      </c>
      <c r="H230" s="1">
        <f t="shared" si="7"/>
        <v>45746</v>
      </c>
      <c r="I230">
        <f t="shared" si="8"/>
        <v>14</v>
      </c>
    </row>
    <row r="231" spans="1:9" x14ac:dyDescent="0.2">
      <c r="A231">
        <v>20250330</v>
      </c>
      <c r="B231" t="s">
        <v>10</v>
      </c>
      <c r="C231" t="s">
        <v>22</v>
      </c>
      <c r="D231">
        <v>1</v>
      </c>
      <c r="E231">
        <v>1</v>
      </c>
      <c r="F231">
        <v>0</v>
      </c>
      <c r="G231">
        <v>0</v>
      </c>
      <c r="H231" s="1">
        <f t="shared" si="7"/>
        <v>45746</v>
      </c>
      <c r="I231">
        <f t="shared" si="8"/>
        <v>14</v>
      </c>
    </row>
    <row r="232" spans="1:9" x14ac:dyDescent="0.2">
      <c r="A232">
        <v>20250331</v>
      </c>
      <c r="B232" t="s">
        <v>7</v>
      </c>
      <c r="C232" t="s">
        <v>8</v>
      </c>
      <c r="D232">
        <v>2</v>
      </c>
      <c r="E232">
        <v>67</v>
      </c>
      <c r="F232">
        <v>0</v>
      </c>
      <c r="G232">
        <v>0</v>
      </c>
      <c r="H232" s="1">
        <f t="shared" si="7"/>
        <v>45747</v>
      </c>
      <c r="I232">
        <f t="shared" si="8"/>
        <v>14</v>
      </c>
    </row>
    <row r="233" spans="1:9" x14ac:dyDescent="0.2">
      <c r="A233">
        <v>20250331</v>
      </c>
      <c r="B233" t="s">
        <v>10</v>
      </c>
      <c r="C233" t="s">
        <v>13</v>
      </c>
      <c r="D233">
        <v>1</v>
      </c>
      <c r="E233">
        <v>2</v>
      </c>
      <c r="F233">
        <v>0</v>
      </c>
      <c r="G233">
        <v>0</v>
      </c>
      <c r="H233" s="1">
        <f t="shared" si="7"/>
        <v>45747</v>
      </c>
      <c r="I233">
        <f t="shared" si="8"/>
        <v>14</v>
      </c>
    </row>
    <row r="234" spans="1:9" x14ac:dyDescent="0.2">
      <c r="A234">
        <v>20250401</v>
      </c>
      <c r="B234" t="s">
        <v>16</v>
      </c>
      <c r="C234" t="s">
        <v>8</v>
      </c>
      <c r="D234">
        <v>4</v>
      </c>
      <c r="E234">
        <v>31.75</v>
      </c>
      <c r="F234">
        <v>0</v>
      </c>
      <c r="G234">
        <v>0</v>
      </c>
      <c r="H234" s="1">
        <f t="shared" si="7"/>
        <v>45748</v>
      </c>
      <c r="I234">
        <f t="shared" si="8"/>
        <v>14</v>
      </c>
    </row>
    <row r="235" spans="1:9" x14ac:dyDescent="0.2">
      <c r="A235">
        <v>20250401</v>
      </c>
      <c r="B235" t="s">
        <v>16</v>
      </c>
      <c r="C235" t="s">
        <v>27</v>
      </c>
      <c r="D235">
        <v>1</v>
      </c>
      <c r="E235">
        <v>85</v>
      </c>
      <c r="F235">
        <v>0</v>
      </c>
      <c r="G235">
        <v>0</v>
      </c>
      <c r="H235" s="1">
        <f t="shared" si="7"/>
        <v>45748</v>
      </c>
      <c r="I235">
        <f t="shared" si="8"/>
        <v>14</v>
      </c>
    </row>
    <row r="236" spans="1:9" x14ac:dyDescent="0.2">
      <c r="A236">
        <v>20250401</v>
      </c>
      <c r="B236" t="s">
        <v>7</v>
      </c>
      <c r="C236" t="s">
        <v>8</v>
      </c>
      <c r="D236">
        <v>2</v>
      </c>
      <c r="E236">
        <v>28.5</v>
      </c>
      <c r="F236">
        <v>0</v>
      </c>
      <c r="G236">
        <v>0</v>
      </c>
      <c r="H236" s="1">
        <f t="shared" si="7"/>
        <v>45748</v>
      </c>
      <c r="I236">
        <f t="shared" si="8"/>
        <v>14</v>
      </c>
    </row>
    <row r="237" spans="1:9" x14ac:dyDescent="0.2">
      <c r="A237">
        <v>20250401</v>
      </c>
      <c r="B237" t="s">
        <v>9</v>
      </c>
      <c r="C237" t="s">
        <v>15</v>
      </c>
      <c r="D237">
        <v>2</v>
      </c>
      <c r="E237">
        <v>1</v>
      </c>
      <c r="F237">
        <v>0</v>
      </c>
      <c r="G237">
        <v>0</v>
      </c>
      <c r="H237" s="1">
        <f t="shared" si="7"/>
        <v>45748</v>
      </c>
      <c r="I237">
        <f t="shared" si="8"/>
        <v>14</v>
      </c>
    </row>
    <row r="238" spans="1:9" x14ac:dyDescent="0.2">
      <c r="A238">
        <v>20250401</v>
      </c>
      <c r="B238" t="s">
        <v>10</v>
      </c>
      <c r="C238" t="s">
        <v>13</v>
      </c>
      <c r="D238">
        <v>1</v>
      </c>
      <c r="E238">
        <v>95</v>
      </c>
      <c r="F238">
        <v>0</v>
      </c>
      <c r="G238">
        <v>0</v>
      </c>
      <c r="H238" s="1">
        <f t="shared" si="7"/>
        <v>45748</v>
      </c>
      <c r="I238">
        <f t="shared" si="8"/>
        <v>14</v>
      </c>
    </row>
    <row r="239" spans="1:9" x14ac:dyDescent="0.2">
      <c r="A239">
        <v>20250402</v>
      </c>
      <c r="B239" t="s">
        <v>16</v>
      </c>
      <c r="C239" t="s">
        <v>17</v>
      </c>
      <c r="D239">
        <v>4</v>
      </c>
      <c r="E239">
        <v>2</v>
      </c>
      <c r="F239">
        <v>0</v>
      </c>
      <c r="G239">
        <v>0</v>
      </c>
      <c r="H239" s="1">
        <f t="shared" si="7"/>
        <v>45749</v>
      </c>
      <c r="I239">
        <f t="shared" si="8"/>
        <v>14</v>
      </c>
    </row>
    <row r="240" spans="1:9" x14ac:dyDescent="0.2">
      <c r="A240">
        <v>20250402</v>
      </c>
      <c r="B240" t="s">
        <v>16</v>
      </c>
      <c r="C240" t="s">
        <v>8</v>
      </c>
      <c r="D240">
        <v>2</v>
      </c>
      <c r="E240">
        <v>1</v>
      </c>
      <c r="F240">
        <v>0</v>
      </c>
      <c r="G240">
        <v>0</v>
      </c>
      <c r="H240" s="1">
        <f t="shared" si="7"/>
        <v>45749</v>
      </c>
      <c r="I240">
        <f t="shared" si="8"/>
        <v>14</v>
      </c>
    </row>
    <row r="241" spans="1:9" x14ac:dyDescent="0.2">
      <c r="A241">
        <v>20250402</v>
      </c>
      <c r="B241" t="s">
        <v>7</v>
      </c>
      <c r="C241" t="s">
        <v>8</v>
      </c>
      <c r="D241">
        <v>1</v>
      </c>
      <c r="E241">
        <v>21</v>
      </c>
      <c r="F241">
        <v>0</v>
      </c>
      <c r="G241">
        <v>0</v>
      </c>
      <c r="H241" s="1">
        <f t="shared" si="7"/>
        <v>45749</v>
      </c>
      <c r="I241">
        <f t="shared" si="8"/>
        <v>14</v>
      </c>
    </row>
    <row r="242" spans="1:9" x14ac:dyDescent="0.2">
      <c r="A242">
        <v>20250402</v>
      </c>
      <c r="B242" t="s">
        <v>10</v>
      </c>
      <c r="C242" t="s">
        <v>8</v>
      </c>
      <c r="D242">
        <v>1</v>
      </c>
      <c r="E242">
        <v>1</v>
      </c>
      <c r="F242">
        <v>0</v>
      </c>
      <c r="G242">
        <v>0</v>
      </c>
      <c r="H242" s="1">
        <f t="shared" si="7"/>
        <v>45749</v>
      </c>
      <c r="I242">
        <f t="shared" si="8"/>
        <v>14</v>
      </c>
    </row>
    <row r="243" spans="1:9" x14ac:dyDescent="0.2">
      <c r="A243">
        <v>20250403</v>
      </c>
      <c r="B243" t="s">
        <v>16</v>
      </c>
      <c r="C243" t="s">
        <v>26</v>
      </c>
      <c r="D243">
        <v>2</v>
      </c>
      <c r="E243">
        <v>2</v>
      </c>
      <c r="F243">
        <v>0</v>
      </c>
      <c r="G243">
        <v>0</v>
      </c>
      <c r="H243" s="1">
        <f t="shared" si="7"/>
        <v>45750</v>
      </c>
      <c r="I243">
        <f t="shared" si="8"/>
        <v>14</v>
      </c>
    </row>
    <row r="244" spans="1:9" x14ac:dyDescent="0.2">
      <c r="A244">
        <v>20250403</v>
      </c>
      <c r="B244" t="s">
        <v>9</v>
      </c>
      <c r="C244" t="s">
        <v>13</v>
      </c>
      <c r="D244">
        <v>3</v>
      </c>
      <c r="E244">
        <v>11.3333333333333</v>
      </c>
      <c r="F244">
        <v>0</v>
      </c>
      <c r="G244">
        <v>0</v>
      </c>
      <c r="H244" s="1">
        <f t="shared" si="7"/>
        <v>45750</v>
      </c>
      <c r="I244">
        <f t="shared" si="8"/>
        <v>14</v>
      </c>
    </row>
    <row r="245" spans="1:9" x14ac:dyDescent="0.2">
      <c r="A245">
        <v>20250404</v>
      </c>
      <c r="B245" t="s">
        <v>7</v>
      </c>
      <c r="C245" t="s">
        <v>20</v>
      </c>
      <c r="D245">
        <v>1</v>
      </c>
      <c r="E245">
        <v>86</v>
      </c>
      <c r="F245">
        <v>0</v>
      </c>
      <c r="G245">
        <v>0</v>
      </c>
      <c r="H245" s="1">
        <f t="shared" si="7"/>
        <v>45751</v>
      </c>
      <c r="I245">
        <f t="shared" si="8"/>
        <v>14</v>
      </c>
    </row>
    <row r="246" spans="1:9" x14ac:dyDescent="0.2">
      <c r="A246">
        <v>20250404</v>
      </c>
      <c r="B246" t="s">
        <v>7</v>
      </c>
      <c r="C246" t="s">
        <v>8</v>
      </c>
      <c r="D246">
        <v>1</v>
      </c>
      <c r="E246">
        <v>15</v>
      </c>
      <c r="F246">
        <v>0</v>
      </c>
      <c r="G246">
        <v>0</v>
      </c>
      <c r="H246" s="1">
        <f t="shared" si="7"/>
        <v>45751</v>
      </c>
      <c r="I246">
        <f t="shared" si="8"/>
        <v>14</v>
      </c>
    </row>
    <row r="247" spans="1:9" x14ac:dyDescent="0.2">
      <c r="A247">
        <v>20250404</v>
      </c>
      <c r="B247" t="s">
        <v>9</v>
      </c>
      <c r="C247" t="s">
        <v>13</v>
      </c>
      <c r="D247">
        <v>1</v>
      </c>
      <c r="E247">
        <v>80</v>
      </c>
      <c r="F247">
        <v>0</v>
      </c>
      <c r="G247">
        <v>0</v>
      </c>
      <c r="H247" s="1">
        <f t="shared" si="7"/>
        <v>45751</v>
      </c>
      <c r="I247">
        <f t="shared" si="8"/>
        <v>14</v>
      </c>
    </row>
    <row r="248" spans="1:9" x14ac:dyDescent="0.2">
      <c r="A248">
        <v>20250404</v>
      </c>
      <c r="B248" t="s">
        <v>10</v>
      </c>
      <c r="C248" t="s">
        <v>8</v>
      </c>
      <c r="D248">
        <v>1</v>
      </c>
      <c r="E248">
        <v>34</v>
      </c>
      <c r="F248">
        <v>0</v>
      </c>
      <c r="G248">
        <v>0</v>
      </c>
      <c r="H248" s="1">
        <f t="shared" si="7"/>
        <v>45751</v>
      </c>
      <c r="I248">
        <f t="shared" si="8"/>
        <v>14</v>
      </c>
    </row>
    <row r="249" spans="1:9" x14ac:dyDescent="0.2">
      <c r="A249">
        <v>20250405</v>
      </c>
      <c r="B249" t="s">
        <v>7</v>
      </c>
      <c r="C249" t="s">
        <v>8</v>
      </c>
      <c r="D249">
        <v>3</v>
      </c>
      <c r="E249">
        <v>39</v>
      </c>
      <c r="F249">
        <v>0</v>
      </c>
      <c r="G249">
        <v>0</v>
      </c>
      <c r="H249" s="1">
        <f t="shared" si="7"/>
        <v>45752</v>
      </c>
      <c r="I249">
        <f t="shared" si="8"/>
        <v>14</v>
      </c>
    </row>
    <row r="250" spans="1:9" x14ac:dyDescent="0.2">
      <c r="A250">
        <v>20250405</v>
      </c>
      <c r="B250" t="s">
        <v>9</v>
      </c>
      <c r="C250" t="s">
        <v>13</v>
      </c>
      <c r="D250">
        <v>3</v>
      </c>
      <c r="E250">
        <v>50.6666666666666</v>
      </c>
      <c r="F250">
        <v>0</v>
      </c>
      <c r="G250">
        <v>0</v>
      </c>
      <c r="H250" s="1">
        <f t="shared" si="7"/>
        <v>45752</v>
      </c>
      <c r="I250">
        <f t="shared" si="8"/>
        <v>14</v>
      </c>
    </row>
    <row r="251" spans="1:9" x14ac:dyDescent="0.2">
      <c r="A251">
        <v>20250405</v>
      </c>
      <c r="B251" t="s">
        <v>10</v>
      </c>
      <c r="C251" t="s">
        <v>8</v>
      </c>
      <c r="D251">
        <v>4</v>
      </c>
      <c r="E251">
        <v>1</v>
      </c>
      <c r="F251">
        <v>0</v>
      </c>
      <c r="G251">
        <v>0</v>
      </c>
      <c r="H251" s="1">
        <f t="shared" si="7"/>
        <v>45752</v>
      </c>
      <c r="I251">
        <f t="shared" si="8"/>
        <v>14</v>
      </c>
    </row>
    <row r="252" spans="1:9" x14ac:dyDescent="0.2">
      <c r="A252">
        <v>20250406</v>
      </c>
      <c r="B252" t="s">
        <v>7</v>
      </c>
      <c r="C252" t="s">
        <v>8</v>
      </c>
      <c r="D252">
        <v>4</v>
      </c>
      <c r="E252">
        <v>16</v>
      </c>
      <c r="F252">
        <v>0</v>
      </c>
      <c r="G252">
        <v>0</v>
      </c>
      <c r="H252" s="1">
        <f t="shared" si="7"/>
        <v>45753</v>
      </c>
      <c r="I252">
        <f t="shared" si="8"/>
        <v>15</v>
      </c>
    </row>
    <row r="253" spans="1:9" x14ac:dyDescent="0.2">
      <c r="A253">
        <v>20250406</v>
      </c>
      <c r="B253" t="s">
        <v>14</v>
      </c>
      <c r="C253" t="s">
        <v>15</v>
      </c>
      <c r="D253">
        <v>3</v>
      </c>
      <c r="E253">
        <v>1</v>
      </c>
      <c r="F253">
        <v>0</v>
      </c>
      <c r="G253">
        <v>0</v>
      </c>
      <c r="H253" s="1">
        <f t="shared" si="7"/>
        <v>45753</v>
      </c>
      <c r="I253">
        <f t="shared" si="8"/>
        <v>15</v>
      </c>
    </row>
    <row r="254" spans="1:9" x14ac:dyDescent="0.2">
      <c r="A254">
        <v>20250406</v>
      </c>
      <c r="B254" t="s">
        <v>9</v>
      </c>
      <c r="C254" t="s">
        <v>13</v>
      </c>
      <c r="D254">
        <v>2</v>
      </c>
      <c r="E254">
        <v>14</v>
      </c>
      <c r="F254">
        <v>0</v>
      </c>
      <c r="G254">
        <v>0</v>
      </c>
      <c r="H254" s="1">
        <f t="shared" si="7"/>
        <v>45753</v>
      </c>
      <c r="I254">
        <f t="shared" si="8"/>
        <v>15</v>
      </c>
    </row>
    <row r="255" spans="1:9" x14ac:dyDescent="0.2">
      <c r="A255">
        <v>20250406</v>
      </c>
      <c r="B255" t="s">
        <v>9</v>
      </c>
      <c r="C255" t="s">
        <v>15</v>
      </c>
      <c r="D255">
        <v>2</v>
      </c>
      <c r="E255">
        <v>1</v>
      </c>
      <c r="F255">
        <v>0</v>
      </c>
      <c r="G255">
        <v>0</v>
      </c>
      <c r="H255" s="1">
        <f t="shared" si="7"/>
        <v>45753</v>
      </c>
      <c r="I255">
        <f t="shared" si="8"/>
        <v>15</v>
      </c>
    </row>
    <row r="256" spans="1:9" x14ac:dyDescent="0.2">
      <c r="A256">
        <v>20250406</v>
      </c>
      <c r="B256" t="s">
        <v>9</v>
      </c>
      <c r="C256" t="s">
        <v>8</v>
      </c>
      <c r="D256">
        <v>2</v>
      </c>
      <c r="E256">
        <v>1</v>
      </c>
      <c r="F256">
        <v>0</v>
      </c>
      <c r="G256">
        <v>0</v>
      </c>
      <c r="H256" s="1">
        <f t="shared" si="7"/>
        <v>45753</v>
      </c>
      <c r="I256">
        <f t="shared" si="8"/>
        <v>15</v>
      </c>
    </row>
    <row r="257" spans="1:9" x14ac:dyDescent="0.2">
      <c r="A257">
        <v>20250406</v>
      </c>
      <c r="B257" t="s">
        <v>10</v>
      </c>
      <c r="C257" t="s">
        <v>8</v>
      </c>
      <c r="D257">
        <v>1</v>
      </c>
      <c r="E257">
        <v>32</v>
      </c>
      <c r="F257">
        <v>0</v>
      </c>
      <c r="G257">
        <v>1</v>
      </c>
      <c r="H257" s="1">
        <f t="shared" si="7"/>
        <v>45753</v>
      </c>
      <c r="I257">
        <f t="shared" si="8"/>
        <v>15</v>
      </c>
    </row>
    <row r="258" spans="1:9" x14ac:dyDescent="0.2">
      <c r="A258">
        <v>20250407</v>
      </c>
      <c r="B258" t="s">
        <v>16</v>
      </c>
      <c r="C258" t="s">
        <v>8</v>
      </c>
      <c r="D258">
        <v>1</v>
      </c>
      <c r="E258">
        <v>25</v>
      </c>
      <c r="F258">
        <v>0</v>
      </c>
      <c r="G258">
        <v>0</v>
      </c>
      <c r="H258" s="1">
        <f t="shared" ref="H258:H321" si="9">DATE(LEFT(A258,4),MID(A258,5,2),RIGHT(A258,2))</f>
        <v>45754</v>
      </c>
      <c r="I258">
        <f t="shared" ref="I258:I321" si="10">WEEKNUM(H258)</f>
        <v>15</v>
      </c>
    </row>
    <row r="259" spans="1:9" x14ac:dyDescent="0.2">
      <c r="A259">
        <v>20250407</v>
      </c>
      <c r="B259" t="s">
        <v>7</v>
      </c>
      <c r="C259" t="s">
        <v>8</v>
      </c>
      <c r="D259">
        <v>4</v>
      </c>
      <c r="E259">
        <v>10.5</v>
      </c>
      <c r="F259">
        <v>0</v>
      </c>
      <c r="G259">
        <v>0</v>
      </c>
      <c r="H259" s="1">
        <f t="shared" si="9"/>
        <v>45754</v>
      </c>
      <c r="I259">
        <f t="shared" si="10"/>
        <v>15</v>
      </c>
    </row>
    <row r="260" spans="1:9" x14ac:dyDescent="0.2">
      <c r="A260">
        <v>20250407</v>
      </c>
      <c r="B260" t="s">
        <v>7</v>
      </c>
      <c r="C260" t="s">
        <v>24</v>
      </c>
      <c r="D260">
        <v>1</v>
      </c>
      <c r="E260">
        <v>30</v>
      </c>
      <c r="F260">
        <v>0</v>
      </c>
      <c r="G260">
        <v>0</v>
      </c>
      <c r="H260" s="1">
        <f t="shared" si="9"/>
        <v>45754</v>
      </c>
      <c r="I260">
        <f t="shared" si="10"/>
        <v>15</v>
      </c>
    </row>
    <row r="261" spans="1:9" x14ac:dyDescent="0.2">
      <c r="A261">
        <v>20250407</v>
      </c>
      <c r="B261" t="s">
        <v>9</v>
      </c>
      <c r="C261" t="s">
        <v>13</v>
      </c>
      <c r="D261">
        <v>3</v>
      </c>
      <c r="E261">
        <v>52</v>
      </c>
      <c r="F261">
        <v>0</v>
      </c>
      <c r="G261">
        <v>0</v>
      </c>
      <c r="H261" s="1">
        <f t="shared" si="9"/>
        <v>45754</v>
      </c>
      <c r="I261">
        <f t="shared" si="10"/>
        <v>15</v>
      </c>
    </row>
    <row r="262" spans="1:9" x14ac:dyDescent="0.2">
      <c r="A262">
        <v>20250407</v>
      </c>
      <c r="B262" t="s">
        <v>10</v>
      </c>
      <c r="C262" t="s">
        <v>17</v>
      </c>
      <c r="D262">
        <v>3</v>
      </c>
      <c r="E262">
        <v>2</v>
      </c>
      <c r="F262">
        <v>0</v>
      </c>
      <c r="G262">
        <v>0</v>
      </c>
      <c r="H262" s="1">
        <f t="shared" si="9"/>
        <v>45754</v>
      </c>
      <c r="I262">
        <f t="shared" si="10"/>
        <v>15</v>
      </c>
    </row>
    <row r="263" spans="1:9" x14ac:dyDescent="0.2">
      <c r="A263">
        <v>20250407</v>
      </c>
      <c r="B263" t="s">
        <v>10</v>
      </c>
      <c r="C263" t="s">
        <v>24</v>
      </c>
      <c r="D263">
        <v>1</v>
      </c>
      <c r="E263">
        <v>80</v>
      </c>
      <c r="F263">
        <v>0</v>
      </c>
      <c r="G263">
        <v>0</v>
      </c>
      <c r="H263" s="1">
        <f t="shared" si="9"/>
        <v>45754</v>
      </c>
      <c r="I263">
        <f t="shared" si="10"/>
        <v>15</v>
      </c>
    </row>
    <row r="264" spans="1:9" x14ac:dyDescent="0.2">
      <c r="A264">
        <v>20250408</v>
      </c>
      <c r="B264" t="s">
        <v>16</v>
      </c>
      <c r="C264" t="s">
        <v>22</v>
      </c>
      <c r="D264">
        <v>1</v>
      </c>
      <c r="E264">
        <v>2</v>
      </c>
      <c r="F264">
        <v>0</v>
      </c>
      <c r="G264">
        <v>0</v>
      </c>
      <c r="H264" s="1">
        <f t="shared" si="9"/>
        <v>45755</v>
      </c>
      <c r="I264">
        <f t="shared" si="10"/>
        <v>15</v>
      </c>
    </row>
    <row r="265" spans="1:9" x14ac:dyDescent="0.2">
      <c r="A265">
        <v>20250408</v>
      </c>
      <c r="B265" t="s">
        <v>7</v>
      </c>
      <c r="C265" t="s">
        <v>8</v>
      </c>
      <c r="D265">
        <v>1</v>
      </c>
      <c r="E265">
        <v>12</v>
      </c>
      <c r="F265">
        <v>0</v>
      </c>
      <c r="G265">
        <v>0</v>
      </c>
      <c r="H265" s="1">
        <f t="shared" si="9"/>
        <v>45755</v>
      </c>
      <c r="I265">
        <f t="shared" si="10"/>
        <v>15</v>
      </c>
    </row>
    <row r="266" spans="1:9" x14ac:dyDescent="0.2">
      <c r="A266">
        <v>20250409</v>
      </c>
      <c r="B266" t="s">
        <v>9</v>
      </c>
      <c r="C266" t="s">
        <v>13</v>
      </c>
      <c r="D266">
        <v>1</v>
      </c>
      <c r="E266">
        <v>17</v>
      </c>
      <c r="F266">
        <v>0</v>
      </c>
      <c r="G266">
        <v>0</v>
      </c>
      <c r="H266" s="1">
        <f t="shared" si="9"/>
        <v>45756</v>
      </c>
      <c r="I266">
        <f t="shared" si="10"/>
        <v>15</v>
      </c>
    </row>
    <row r="267" spans="1:9" x14ac:dyDescent="0.2">
      <c r="A267">
        <v>20250409</v>
      </c>
      <c r="B267" t="s">
        <v>10</v>
      </c>
      <c r="C267" t="s">
        <v>8</v>
      </c>
      <c r="D267">
        <v>2</v>
      </c>
      <c r="E267">
        <v>27</v>
      </c>
      <c r="F267">
        <v>0</v>
      </c>
      <c r="G267">
        <v>0</v>
      </c>
      <c r="H267" s="1">
        <f t="shared" si="9"/>
        <v>45756</v>
      </c>
      <c r="I267">
        <f t="shared" si="10"/>
        <v>15</v>
      </c>
    </row>
    <row r="268" spans="1:9" x14ac:dyDescent="0.2">
      <c r="A268">
        <v>20250409</v>
      </c>
      <c r="B268" t="s">
        <v>10</v>
      </c>
      <c r="C268" t="s">
        <v>28</v>
      </c>
      <c r="D268">
        <v>1</v>
      </c>
      <c r="E268">
        <v>20</v>
      </c>
      <c r="F268">
        <v>0</v>
      </c>
      <c r="G268">
        <v>0</v>
      </c>
      <c r="H268" s="1">
        <f t="shared" si="9"/>
        <v>45756</v>
      </c>
      <c r="I268">
        <f t="shared" si="10"/>
        <v>15</v>
      </c>
    </row>
    <row r="269" spans="1:9" x14ac:dyDescent="0.2">
      <c r="A269">
        <v>20250410</v>
      </c>
      <c r="B269" t="s">
        <v>7</v>
      </c>
      <c r="C269" t="s">
        <v>17</v>
      </c>
      <c r="D269">
        <v>3</v>
      </c>
      <c r="E269">
        <v>1</v>
      </c>
      <c r="F269">
        <v>0</v>
      </c>
      <c r="G269">
        <v>0</v>
      </c>
      <c r="H269" s="1">
        <f t="shared" si="9"/>
        <v>45757</v>
      </c>
      <c r="I269">
        <f t="shared" si="10"/>
        <v>15</v>
      </c>
    </row>
    <row r="270" spans="1:9" x14ac:dyDescent="0.2">
      <c r="A270">
        <v>20250410</v>
      </c>
      <c r="B270" t="s">
        <v>10</v>
      </c>
      <c r="C270" t="s">
        <v>22</v>
      </c>
      <c r="D270">
        <v>3</v>
      </c>
      <c r="E270">
        <v>2</v>
      </c>
      <c r="F270">
        <v>0</v>
      </c>
      <c r="G270">
        <v>0</v>
      </c>
      <c r="H270" s="1">
        <f t="shared" si="9"/>
        <v>45757</v>
      </c>
      <c r="I270">
        <f t="shared" si="10"/>
        <v>15</v>
      </c>
    </row>
    <row r="271" spans="1:9" x14ac:dyDescent="0.2">
      <c r="A271">
        <v>20250411</v>
      </c>
      <c r="B271" t="s">
        <v>7</v>
      </c>
      <c r="C271" t="s">
        <v>17</v>
      </c>
      <c r="D271">
        <v>1</v>
      </c>
      <c r="E271">
        <v>11</v>
      </c>
      <c r="F271">
        <v>0</v>
      </c>
      <c r="G271">
        <v>0</v>
      </c>
      <c r="H271" s="1">
        <f t="shared" si="9"/>
        <v>45758</v>
      </c>
      <c r="I271">
        <f t="shared" si="10"/>
        <v>15</v>
      </c>
    </row>
    <row r="272" spans="1:9" x14ac:dyDescent="0.2">
      <c r="A272">
        <v>20250411</v>
      </c>
      <c r="B272" t="s">
        <v>7</v>
      </c>
      <c r="C272" t="s">
        <v>8</v>
      </c>
      <c r="D272">
        <v>1</v>
      </c>
      <c r="E272">
        <v>29</v>
      </c>
      <c r="F272">
        <v>0</v>
      </c>
      <c r="G272">
        <v>0</v>
      </c>
      <c r="H272" s="1">
        <f t="shared" si="9"/>
        <v>45758</v>
      </c>
      <c r="I272">
        <f t="shared" si="10"/>
        <v>15</v>
      </c>
    </row>
    <row r="273" spans="1:9" x14ac:dyDescent="0.2">
      <c r="A273">
        <v>20250412</v>
      </c>
      <c r="B273" t="s">
        <v>19</v>
      </c>
      <c r="C273" t="s">
        <v>8</v>
      </c>
      <c r="D273">
        <v>2</v>
      </c>
      <c r="E273">
        <v>20</v>
      </c>
      <c r="F273">
        <v>0</v>
      </c>
      <c r="G273">
        <v>0</v>
      </c>
      <c r="H273" s="1">
        <f t="shared" si="9"/>
        <v>45759</v>
      </c>
      <c r="I273">
        <f t="shared" si="10"/>
        <v>15</v>
      </c>
    </row>
    <row r="274" spans="1:9" x14ac:dyDescent="0.2">
      <c r="A274">
        <v>20250412</v>
      </c>
      <c r="B274" t="s">
        <v>16</v>
      </c>
      <c r="C274" t="s">
        <v>8</v>
      </c>
      <c r="D274">
        <v>1</v>
      </c>
      <c r="E274">
        <v>1</v>
      </c>
      <c r="F274">
        <v>0</v>
      </c>
      <c r="G274">
        <v>0</v>
      </c>
      <c r="H274" s="1">
        <f t="shared" si="9"/>
        <v>45759</v>
      </c>
      <c r="I274">
        <f t="shared" si="10"/>
        <v>15</v>
      </c>
    </row>
    <row r="275" spans="1:9" x14ac:dyDescent="0.2">
      <c r="A275">
        <v>20250412</v>
      </c>
      <c r="B275" t="s">
        <v>9</v>
      </c>
      <c r="C275" t="s">
        <v>13</v>
      </c>
      <c r="D275">
        <v>3</v>
      </c>
      <c r="E275">
        <v>1</v>
      </c>
      <c r="F275">
        <v>0</v>
      </c>
      <c r="G275">
        <v>0</v>
      </c>
      <c r="H275" s="1">
        <f t="shared" si="9"/>
        <v>45759</v>
      </c>
      <c r="I275">
        <f t="shared" si="10"/>
        <v>15</v>
      </c>
    </row>
    <row r="276" spans="1:9" x14ac:dyDescent="0.2">
      <c r="A276">
        <v>20250413</v>
      </c>
      <c r="B276" t="s">
        <v>7</v>
      </c>
      <c r="C276" t="s">
        <v>8</v>
      </c>
      <c r="D276">
        <v>1</v>
      </c>
      <c r="E276">
        <v>15</v>
      </c>
      <c r="F276">
        <v>0</v>
      </c>
      <c r="G276">
        <v>0</v>
      </c>
      <c r="H276" s="1">
        <f t="shared" si="9"/>
        <v>45760</v>
      </c>
      <c r="I276">
        <f t="shared" si="10"/>
        <v>16</v>
      </c>
    </row>
    <row r="277" spans="1:9" x14ac:dyDescent="0.2">
      <c r="A277">
        <v>20250413</v>
      </c>
      <c r="B277" t="s">
        <v>10</v>
      </c>
      <c r="C277" t="s">
        <v>31</v>
      </c>
      <c r="D277">
        <v>1</v>
      </c>
      <c r="E277">
        <v>1</v>
      </c>
      <c r="F277">
        <v>0</v>
      </c>
      <c r="G277">
        <v>0</v>
      </c>
      <c r="H277" s="1">
        <f t="shared" si="9"/>
        <v>45760</v>
      </c>
      <c r="I277">
        <f t="shared" si="10"/>
        <v>16</v>
      </c>
    </row>
    <row r="278" spans="1:9" x14ac:dyDescent="0.2">
      <c r="A278">
        <v>20250414</v>
      </c>
      <c r="B278" t="s">
        <v>12</v>
      </c>
      <c r="C278" t="s">
        <v>15</v>
      </c>
      <c r="D278">
        <v>1</v>
      </c>
      <c r="E278">
        <v>1</v>
      </c>
      <c r="F278">
        <v>0</v>
      </c>
      <c r="G278">
        <v>0</v>
      </c>
      <c r="H278" s="1">
        <f t="shared" si="9"/>
        <v>45761</v>
      </c>
      <c r="I278">
        <f t="shared" si="10"/>
        <v>16</v>
      </c>
    </row>
    <row r="279" spans="1:9" x14ac:dyDescent="0.2">
      <c r="A279">
        <v>20250414</v>
      </c>
      <c r="B279" t="s">
        <v>16</v>
      </c>
      <c r="C279" t="s">
        <v>8</v>
      </c>
      <c r="D279">
        <v>1</v>
      </c>
      <c r="E279">
        <v>1</v>
      </c>
      <c r="F279">
        <v>0</v>
      </c>
      <c r="G279">
        <v>0</v>
      </c>
      <c r="H279" s="1">
        <f t="shared" si="9"/>
        <v>45761</v>
      </c>
      <c r="I279">
        <f t="shared" si="10"/>
        <v>16</v>
      </c>
    </row>
    <row r="280" spans="1:9" x14ac:dyDescent="0.2">
      <c r="A280">
        <v>20250414</v>
      </c>
      <c r="B280" t="s">
        <v>7</v>
      </c>
      <c r="C280" t="s">
        <v>8</v>
      </c>
      <c r="D280">
        <v>1</v>
      </c>
      <c r="E280">
        <v>23</v>
      </c>
      <c r="F280">
        <v>0</v>
      </c>
      <c r="G280">
        <v>0</v>
      </c>
      <c r="H280" s="1">
        <f t="shared" si="9"/>
        <v>45761</v>
      </c>
      <c r="I280">
        <f t="shared" si="10"/>
        <v>16</v>
      </c>
    </row>
    <row r="281" spans="1:9" x14ac:dyDescent="0.2">
      <c r="A281">
        <v>20250414</v>
      </c>
      <c r="B281" t="s">
        <v>7</v>
      </c>
      <c r="C281" t="s">
        <v>17</v>
      </c>
      <c r="D281">
        <v>1</v>
      </c>
      <c r="E281">
        <v>1</v>
      </c>
      <c r="F281">
        <v>0</v>
      </c>
      <c r="G281">
        <v>0</v>
      </c>
      <c r="H281" s="1">
        <f t="shared" si="9"/>
        <v>45761</v>
      </c>
      <c r="I281">
        <f t="shared" si="10"/>
        <v>16</v>
      </c>
    </row>
    <row r="282" spans="1:9" x14ac:dyDescent="0.2">
      <c r="A282">
        <v>20250414</v>
      </c>
      <c r="B282" t="s">
        <v>10</v>
      </c>
      <c r="C282" t="s">
        <v>15</v>
      </c>
      <c r="D282">
        <v>3</v>
      </c>
      <c r="E282">
        <v>1</v>
      </c>
      <c r="F282">
        <v>0</v>
      </c>
      <c r="G282">
        <v>0</v>
      </c>
      <c r="H282" s="1">
        <f t="shared" si="9"/>
        <v>45761</v>
      </c>
      <c r="I282">
        <f t="shared" si="10"/>
        <v>16</v>
      </c>
    </row>
    <row r="283" spans="1:9" x14ac:dyDescent="0.2">
      <c r="A283">
        <v>20250415</v>
      </c>
      <c r="B283" t="s">
        <v>7</v>
      </c>
      <c r="C283" t="s">
        <v>17</v>
      </c>
      <c r="D283">
        <v>3</v>
      </c>
      <c r="E283">
        <v>1</v>
      </c>
      <c r="F283">
        <v>0</v>
      </c>
      <c r="G283">
        <v>0</v>
      </c>
      <c r="H283" s="1">
        <f t="shared" si="9"/>
        <v>45762</v>
      </c>
      <c r="I283">
        <f t="shared" si="10"/>
        <v>16</v>
      </c>
    </row>
    <row r="284" spans="1:9" x14ac:dyDescent="0.2">
      <c r="A284">
        <v>20250415</v>
      </c>
      <c r="B284" t="s">
        <v>9</v>
      </c>
      <c r="C284" t="s">
        <v>8</v>
      </c>
      <c r="D284">
        <v>3</v>
      </c>
      <c r="E284">
        <v>2</v>
      </c>
      <c r="F284">
        <v>0</v>
      </c>
      <c r="G284">
        <v>0</v>
      </c>
      <c r="H284" s="1">
        <f t="shared" si="9"/>
        <v>45762</v>
      </c>
      <c r="I284">
        <f t="shared" si="10"/>
        <v>16</v>
      </c>
    </row>
    <row r="285" spans="1:9" x14ac:dyDescent="0.2">
      <c r="A285">
        <v>20250415</v>
      </c>
      <c r="B285" t="s">
        <v>10</v>
      </c>
      <c r="C285" t="s">
        <v>8</v>
      </c>
      <c r="D285">
        <v>1</v>
      </c>
      <c r="E285">
        <v>18</v>
      </c>
      <c r="F285">
        <v>0</v>
      </c>
      <c r="G285">
        <v>0</v>
      </c>
      <c r="H285" s="1">
        <f t="shared" si="9"/>
        <v>45762</v>
      </c>
      <c r="I285">
        <f t="shared" si="10"/>
        <v>16</v>
      </c>
    </row>
    <row r="286" spans="1:9" x14ac:dyDescent="0.2">
      <c r="A286">
        <v>20250416</v>
      </c>
      <c r="B286" t="s">
        <v>7</v>
      </c>
      <c r="C286" t="s">
        <v>22</v>
      </c>
      <c r="D286">
        <v>1</v>
      </c>
      <c r="E286">
        <v>40</v>
      </c>
      <c r="F286">
        <v>0</v>
      </c>
      <c r="G286">
        <v>0</v>
      </c>
      <c r="H286" s="1">
        <f t="shared" si="9"/>
        <v>45763</v>
      </c>
      <c r="I286">
        <f t="shared" si="10"/>
        <v>16</v>
      </c>
    </row>
    <row r="287" spans="1:9" x14ac:dyDescent="0.2">
      <c r="A287">
        <v>20250416</v>
      </c>
      <c r="B287" t="s">
        <v>7</v>
      </c>
      <c r="C287" t="s">
        <v>8</v>
      </c>
      <c r="D287">
        <v>1</v>
      </c>
      <c r="E287">
        <v>46</v>
      </c>
      <c r="F287">
        <v>0</v>
      </c>
      <c r="G287">
        <v>7</v>
      </c>
      <c r="H287" s="1">
        <f t="shared" si="9"/>
        <v>45763</v>
      </c>
      <c r="I287">
        <f t="shared" si="10"/>
        <v>16</v>
      </c>
    </row>
    <row r="288" spans="1:9" x14ac:dyDescent="0.2">
      <c r="A288">
        <v>20250416</v>
      </c>
      <c r="B288" t="s">
        <v>14</v>
      </c>
      <c r="C288" t="s">
        <v>8</v>
      </c>
      <c r="D288">
        <v>1</v>
      </c>
      <c r="E288">
        <v>26</v>
      </c>
      <c r="F288">
        <v>0</v>
      </c>
      <c r="G288">
        <v>0</v>
      </c>
      <c r="H288" s="1">
        <f t="shared" si="9"/>
        <v>45763</v>
      </c>
      <c r="I288">
        <f t="shared" si="10"/>
        <v>16</v>
      </c>
    </row>
    <row r="289" spans="1:9" x14ac:dyDescent="0.2">
      <c r="A289">
        <v>20250416</v>
      </c>
      <c r="B289" t="s">
        <v>9</v>
      </c>
      <c r="C289" t="s">
        <v>8</v>
      </c>
      <c r="D289">
        <v>4</v>
      </c>
      <c r="E289">
        <v>1</v>
      </c>
      <c r="F289">
        <v>0</v>
      </c>
      <c r="G289">
        <v>0</v>
      </c>
      <c r="H289" s="1">
        <f t="shared" si="9"/>
        <v>45763</v>
      </c>
      <c r="I289">
        <f t="shared" si="10"/>
        <v>16</v>
      </c>
    </row>
    <row r="290" spans="1:9" x14ac:dyDescent="0.2">
      <c r="A290">
        <v>20250417</v>
      </c>
      <c r="B290" t="s">
        <v>9</v>
      </c>
      <c r="C290" t="s">
        <v>8</v>
      </c>
      <c r="D290">
        <v>1</v>
      </c>
      <c r="E290">
        <v>1</v>
      </c>
      <c r="F290">
        <v>0</v>
      </c>
      <c r="G290">
        <v>0</v>
      </c>
      <c r="H290" s="1">
        <f t="shared" si="9"/>
        <v>45764</v>
      </c>
      <c r="I290">
        <f t="shared" si="10"/>
        <v>16</v>
      </c>
    </row>
    <row r="291" spans="1:9" x14ac:dyDescent="0.2">
      <c r="A291">
        <v>20250418</v>
      </c>
      <c r="B291" t="s">
        <v>7</v>
      </c>
      <c r="C291" t="s">
        <v>8</v>
      </c>
      <c r="D291">
        <v>4</v>
      </c>
      <c r="E291">
        <v>75.25</v>
      </c>
      <c r="F291">
        <v>0</v>
      </c>
      <c r="G291">
        <v>0</v>
      </c>
      <c r="H291" s="1">
        <f t="shared" si="9"/>
        <v>45765</v>
      </c>
      <c r="I291">
        <f t="shared" si="10"/>
        <v>16</v>
      </c>
    </row>
    <row r="292" spans="1:9" x14ac:dyDescent="0.2">
      <c r="A292">
        <v>20250418</v>
      </c>
      <c r="B292" t="s">
        <v>10</v>
      </c>
      <c r="C292" t="s">
        <v>8</v>
      </c>
      <c r="D292">
        <v>5</v>
      </c>
      <c r="E292">
        <v>39.200000000000003</v>
      </c>
      <c r="F292">
        <v>0</v>
      </c>
      <c r="G292">
        <v>5</v>
      </c>
      <c r="H292" s="1">
        <f t="shared" si="9"/>
        <v>45765</v>
      </c>
      <c r="I292">
        <f t="shared" si="10"/>
        <v>16</v>
      </c>
    </row>
    <row r="293" spans="1:9" x14ac:dyDescent="0.2">
      <c r="A293">
        <v>20250419</v>
      </c>
      <c r="B293" t="s">
        <v>7</v>
      </c>
      <c r="C293" t="s">
        <v>8</v>
      </c>
      <c r="D293">
        <v>3</v>
      </c>
      <c r="E293">
        <v>58</v>
      </c>
      <c r="F293">
        <v>0</v>
      </c>
      <c r="G293">
        <v>0</v>
      </c>
      <c r="H293" s="1">
        <f t="shared" si="9"/>
        <v>45766</v>
      </c>
      <c r="I293">
        <f t="shared" si="10"/>
        <v>16</v>
      </c>
    </row>
    <row r="294" spans="1:9" x14ac:dyDescent="0.2">
      <c r="A294">
        <v>20250420</v>
      </c>
      <c r="B294" t="s">
        <v>16</v>
      </c>
      <c r="C294" t="s">
        <v>22</v>
      </c>
      <c r="D294">
        <v>2</v>
      </c>
      <c r="E294">
        <v>1</v>
      </c>
      <c r="F294">
        <v>0</v>
      </c>
      <c r="G294">
        <v>0</v>
      </c>
      <c r="H294" s="1">
        <f t="shared" si="9"/>
        <v>45767</v>
      </c>
      <c r="I294">
        <f t="shared" si="10"/>
        <v>17</v>
      </c>
    </row>
    <row r="295" spans="1:9" x14ac:dyDescent="0.2">
      <c r="A295">
        <v>20250420</v>
      </c>
      <c r="B295" t="s">
        <v>7</v>
      </c>
      <c r="C295" t="s">
        <v>8</v>
      </c>
      <c r="D295">
        <v>3</v>
      </c>
      <c r="E295">
        <v>15.3333333333333</v>
      </c>
      <c r="F295">
        <v>0</v>
      </c>
      <c r="G295">
        <v>0</v>
      </c>
      <c r="H295" s="1">
        <f t="shared" si="9"/>
        <v>45767</v>
      </c>
      <c r="I295">
        <f t="shared" si="10"/>
        <v>17</v>
      </c>
    </row>
    <row r="296" spans="1:9" x14ac:dyDescent="0.2">
      <c r="A296">
        <v>20250420</v>
      </c>
      <c r="B296" t="s">
        <v>10</v>
      </c>
      <c r="C296" t="s">
        <v>8</v>
      </c>
      <c r="D296">
        <v>1</v>
      </c>
      <c r="E296">
        <v>20</v>
      </c>
      <c r="F296">
        <v>0</v>
      </c>
      <c r="G296">
        <v>0</v>
      </c>
      <c r="H296" s="1">
        <f t="shared" si="9"/>
        <v>45767</v>
      </c>
      <c r="I296">
        <f t="shared" si="10"/>
        <v>17</v>
      </c>
    </row>
    <row r="297" spans="1:9" x14ac:dyDescent="0.2">
      <c r="A297">
        <v>20250421</v>
      </c>
      <c r="B297" t="s">
        <v>7</v>
      </c>
      <c r="C297" t="s">
        <v>13</v>
      </c>
      <c r="D297">
        <v>2</v>
      </c>
      <c r="E297">
        <v>45</v>
      </c>
      <c r="F297">
        <v>0</v>
      </c>
      <c r="G297">
        <v>0</v>
      </c>
      <c r="H297" s="1">
        <f t="shared" si="9"/>
        <v>45768</v>
      </c>
      <c r="I297">
        <f t="shared" si="10"/>
        <v>17</v>
      </c>
    </row>
    <row r="298" spans="1:9" x14ac:dyDescent="0.2">
      <c r="A298">
        <v>20250421</v>
      </c>
      <c r="B298" t="s">
        <v>7</v>
      </c>
      <c r="C298" t="s">
        <v>8</v>
      </c>
      <c r="D298">
        <v>1</v>
      </c>
      <c r="E298">
        <v>55</v>
      </c>
      <c r="F298">
        <v>0</v>
      </c>
      <c r="G298">
        <v>0</v>
      </c>
      <c r="H298" s="1">
        <f t="shared" si="9"/>
        <v>45768</v>
      </c>
      <c r="I298">
        <f t="shared" si="10"/>
        <v>17</v>
      </c>
    </row>
    <row r="299" spans="1:9" x14ac:dyDescent="0.2">
      <c r="A299">
        <v>20250421</v>
      </c>
      <c r="B299" t="s">
        <v>10</v>
      </c>
      <c r="C299" t="s">
        <v>8</v>
      </c>
      <c r="D299">
        <v>1</v>
      </c>
      <c r="E299">
        <v>16</v>
      </c>
      <c r="F299">
        <v>0</v>
      </c>
      <c r="G299">
        <v>0</v>
      </c>
      <c r="H299" s="1">
        <f t="shared" si="9"/>
        <v>45768</v>
      </c>
      <c r="I299">
        <f t="shared" si="10"/>
        <v>17</v>
      </c>
    </row>
    <row r="300" spans="1:9" x14ac:dyDescent="0.2">
      <c r="A300">
        <v>20250422</v>
      </c>
      <c r="B300" t="s">
        <v>7</v>
      </c>
      <c r="C300" t="s">
        <v>8</v>
      </c>
      <c r="D300">
        <v>3</v>
      </c>
      <c r="E300">
        <v>8.3333333333333304</v>
      </c>
      <c r="F300">
        <v>0</v>
      </c>
      <c r="G300">
        <v>0</v>
      </c>
      <c r="H300" s="1">
        <f t="shared" si="9"/>
        <v>45769</v>
      </c>
      <c r="I300">
        <f t="shared" si="10"/>
        <v>17</v>
      </c>
    </row>
    <row r="301" spans="1:9" x14ac:dyDescent="0.2">
      <c r="A301">
        <v>20250423</v>
      </c>
      <c r="B301" t="s">
        <v>19</v>
      </c>
      <c r="C301" t="s">
        <v>8</v>
      </c>
      <c r="D301">
        <v>1</v>
      </c>
      <c r="E301">
        <v>18</v>
      </c>
      <c r="F301">
        <v>0</v>
      </c>
      <c r="G301">
        <v>0</v>
      </c>
      <c r="H301" s="1">
        <f t="shared" si="9"/>
        <v>45770</v>
      </c>
      <c r="I301">
        <f t="shared" si="10"/>
        <v>17</v>
      </c>
    </row>
    <row r="302" spans="1:9" x14ac:dyDescent="0.2">
      <c r="A302">
        <v>20250423</v>
      </c>
      <c r="B302" t="s">
        <v>9</v>
      </c>
      <c r="C302" t="s">
        <v>13</v>
      </c>
      <c r="D302">
        <v>1</v>
      </c>
      <c r="E302">
        <v>84</v>
      </c>
      <c r="F302">
        <v>0</v>
      </c>
      <c r="G302">
        <v>0</v>
      </c>
      <c r="H302" s="1">
        <f t="shared" si="9"/>
        <v>45770</v>
      </c>
      <c r="I302">
        <f t="shared" si="10"/>
        <v>17</v>
      </c>
    </row>
    <row r="303" spans="1:9" x14ac:dyDescent="0.2">
      <c r="A303">
        <v>20250423</v>
      </c>
      <c r="B303" t="s">
        <v>10</v>
      </c>
      <c r="C303" t="s">
        <v>8</v>
      </c>
      <c r="D303">
        <v>1</v>
      </c>
      <c r="E303">
        <v>31</v>
      </c>
      <c r="F303">
        <v>0</v>
      </c>
      <c r="G303">
        <v>0</v>
      </c>
      <c r="H303" s="1">
        <f t="shared" si="9"/>
        <v>45770</v>
      </c>
      <c r="I303">
        <f t="shared" si="10"/>
        <v>17</v>
      </c>
    </row>
    <row r="304" spans="1:9" x14ac:dyDescent="0.2">
      <c r="A304">
        <v>20250424</v>
      </c>
      <c r="B304" t="s">
        <v>16</v>
      </c>
      <c r="C304" t="s">
        <v>8</v>
      </c>
      <c r="D304">
        <v>2</v>
      </c>
      <c r="E304">
        <v>19</v>
      </c>
      <c r="F304">
        <v>0</v>
      </c>
      <c r="G304">
        <v>0</v>
      </c>
      <c r="H304" s="1">
        <f t="shared" si="9"/>
        <v>45771</v>
      </c>
      <c r="I304">
        <f t="shared" si="10"/>
        <v>17</v>
      </c>
    </row>
    <row r="305" spans="1:9" x14ac:dyDescent="0.2">
      <c r="A305">
        <v>20250424</v>
      </c>
      <c r="B305" t="s">
        <v>10</v>
      </c>
      <c r="C305" t="s">
        <v>8</v>
      </c>
      <c r="D305">
        <v>4</v>
      </c>
      <c r="E305">
        <v>19.75</v>
      </c>
      <c r="F305">
        <v>0</v>
      </c>
      <c r="G305">
        <v>1</v>
      </c>
      <c r="H305" s="1">
        <f t="shared" si="9"/>
        <v>45771</v>
      </c>
      <c r="I305">
        <f t="shared" si="10"/>
        <v>17</v>
      </c>
    </row>
    <row r="306" spans="1:9" x14ac:dyDescent="0.2">
      <c r="A306">
        <v>20250425</v>
      </c>
      <c r="B306" t="s">
        <v>7</v>
      </c>
      <c r="C306" t="s">
        <v>8</v>
      </c>
      <c r="D306">
        <v>1</v>
      </c>
      <c r="E306">
        <v>2</v>
      </c>
      <c r="F306">
        <v>0</v>
      </c>
      <c r="G306">
        <v>0</v>
      </c>
      <c r="H306" s="1">
        <f t="shared" si="9"/>
        <v>45772</v>
      </c>
      <c r="I306">
        <f t="shared" si="10"/>
        <v>17</v>
      </c>
    </row>
    <row r="307" spans="1:9" x14ac:dyDescent="0.2">
      <c r="A307">
        <v>20250425</v>
      </c>
      <c r="B307" t="s">
        <v>10</v>
      </c>
      <c r="C307" t="s">
        <v>25</v>
      </c>
      <c r="D307">
        <v>1</v>
      </c>
      <c r="E307">
        <v>46</v>
      </c>
      <c r="F307">
        <v>0</v>
      </c>
      <c r="G307">
        <v>0</v>
      </c>
      <c r="H307" s="1">
        <f t="shared" si="9"/>
        <v>45772</v>
      </c>
      <c r="I307">
        <f t="shared" si="10"/>
        <v>17</v>
      </c>
    </row>
    <row r="308" spans="1:9" x14ac:dyDescent="0.2">
      <c r="A308">
        <v>20250426</v>
      </c>
      <c r="B308" t="s">
        <v>10</v>
      </c>
      <c r="C308" t="s">
        <v>8</v>
      </c>
      <c r="D308">
        <v>3</v>
      </c>
      <c r="E308">
        <v>41.6666666666666</v>
      </c>
      <c r="F308">
        <v>0</v>
      </c>
      <c r="G308">
        <v>0</v>
      </c>
      <c r="H308" s="1">
        <f t="shared" si="9"/>
        <v>45773</v>
      </c>
      <c r="I308">
        <f t="shared" si="10"/>
        <v>17</v>
      </c>
    </row>
    <row r="309" spans="1:9" x14ac:dyDescent="0.2">
      <c r="A309">
        <v>20250426</v>
      </c>
      <c r="B309" t="s">
        <v>10</v>
      </c>
      <c r="C309" t="s">
        <v>24</v>
      </c>
      <c r="D309">
        <v>3</v>
      </c>
      <c r="E309">
        <v>37.6666666666666</v>
      </c>
      <c r="F309">
        <v>0</v>
      </c>
      <c r="G309">
        <v>0</v>
      </c>
      <c r="H309" s="1">
        <f t="shared" si="9"/>
        <v>45773</v>
      </c>
      <c r="I309">
        <f t="shared" si="10"/>
        <v>17</v>
      </c>
    </row>
    <row r="310" spans="1:9" x14ac:dyDescent="0.2">
      <c r="A310">
        <v>20250426</v>
      </c>
      <c r="B310" t="s">
        <v>10</v>
      </c>
      <c r="C310" t="s">
        <v>31</v>
      </c>
      <c r="D310">
        <v>1</v>
      </c>
      <c r="E310">
        <v>48</v>
      </c>
      <c r="F310">
        <v>0</v>
      </c>
      <c r="G310">
        <v>0</v>
      </c>
      <c r="H310" s="1">
        <f t="shared" si="9"/>
        <v>45773</v>
      </c>
      <c r="I310">
        <f t="shared" si="10"/>
        <v>17</v>
      </c>
    </row>
    <row r="311" spans="1:9" x14ac:dyDescent="0.2">
      <c r="A311">
        <v>20250427</v>
      </c>
      <c r="B311" t="s">
        <v>16</v>
      </c>
      <c r="C311" t="s">
        <v>8</v>
      </c>
      <c r="D311">
        <v>1</v>
      </c>
      <c r="E311">
        <v>30</v>
      </c>
      <c r="F311">
        <v>0</v>
      </c>
      <c r="G311">
        <v>0</v>
      </c>
      <c r="H311" s="1">
        <f t="shared" si="9"/>
        <v>45774</v>
      </c>
      <c r="I311">
        <f t="shared" si="10"/>
        <v>18</v>
      </c>
    </row>
    <row r="312" spans="1:9" x14ac:dyDescent="0.2">
      <c r="A312">
        <v>20250427</v>
      </c>
      <c r="B312" t="s">
        <v>10</v>
      </c>
      <c r="C312" t="s">
        <v>8</v>
      </c>
      <c r="D312">
        <v>1</v>
      </c>
      <c r="E312">
        <v>40</v>
      </c>
      <c r="F312">
        <v>0</v>
      </c>
      <c r="G312">
        <v>0</v>
      </c>
      <c r="H312" s="1">
        <f t="shared" si="9"/>
        <v>45774</v>
      </c>
      <c r="I312">
        <f t="shared" si="10"/>
        <v>18</v>
      </c>
    </row>
    <row r="313" spans="1:9" x14ac:dyDescent="0.2">
      <c r="A313">
        <v>20250427</v>
      </c>
      <c r="B313" t="s">
        <v>10</v>
      </c>
      <c r="C313" t="s">
        <v>22</v>
      </c>
      <c r="D313">
        <v>1</v>
      </c>
      <c r="E313">
        <v>1</v>
      </c>
      <c r="F313">
        <v>0</v>
      </c>
      <c r="G313">
        <v>0</v>
      </c>
      <c r="H313" s="1">
        <f t="shared" si="9"/>
        <v>45774</v>
      </c>
      <c r="I313">
        <f t="shared" si="10"/>
        <v>18</v>
      </c>
    </row>
    <row r="314" spans="1:9" x14ac:dyDescent="0.2">
      <c r="A314">
        <v>20250428</v>
      </c>
      <c r="B314" t="s">
        <v>19</v>
      </c>
      <c r="C314" t="s">
        <v>8</v>
      </c>
      <c r="D314">
        <v>3</v>
      </c>
      <c r="E314">
        <v>15.3333333333333</v>
      </c>
      <c r="F314">
        <v>0</v>
      </c>
      <c r="G314">
        <v>0</v>
      </c>
      <c r="H314" s="1">
        <f t="shared" si="9"/>
        <v>45775</v>
      </c>
      <c r="I314">
        <f t="shared" si="10"/>
        <v>18</v>
      </c>
    </row>
    <row r="315" spans="1:9" x14ac:dyDescent="0.2">
      <c r="A315">
        <v>20250428</v>
      </c>
      <c r="B315" t="s">
        <v>12</v>
      </c>
      <c r="C315" t="s">
        <v>20</v>
      </c>
      <c r="D315">
        <v>1</v>
      </c>
      <c r="E315">
        <v>15</v>
      </c>
      <c r="F315">
        <v>0</v>
      </c>
      <c r="G315">
        <v>0</v>
      </c>
      <c r="H315" s="1">
        <f t="shared" si="9"/>
        <v>45775</v>
      </c>
      <c r="I315">
        <f t="shared" si="10"/>
        <v>18</v>
      </c>
    </row>
    <row r="316" spans="1:9" x14ac:dyDescent="0.2">
      <c r="A316">
        <v>20250428</v>
      </c>
      <c r="B316" t="s">
        <v>12</v>
      </c>
      <c r="C316" t="s">
        <v>8</v>
      </c>
      <c r="D316">
        <v>1</v>
      </c>
      <c r="E316">
        <v>37</v>
      </c>
      <c r="F316">
        <v>0</v>
      </c>
      <c r="G316">
        <v>0</v>
      </c>
      <c r="H316" s="1">
        <f t="shared" si="9"/>
        <v>45775</v>
      </c>
      <c r="I316">
        <f t="shared" si="10"/>
        <v>18</v>
      </c>
    </row>
    <row r="317" spans="1:9" x14ac:dyDescent="0.2">
      <c r="A317">
        <v>20250428</v>
      </c>
      <c r="B317" t="s">
        <v>16</v>
      </c>
      <c r="C317" t="s">
        <v>8</v>
      </c>
      <c r="D317">
        <v>1</v>
      </c>
      <c r="E317">
        <v>37</v>
      </c>
      <c r="F317">
        <v>0</v>
      </c>
      <c r="G317">
        <v>0</v>
      </c>
      <c r="H317" s="1">
        <f t="shared" si="9"/>
        <v>45775</v>
      </c>
      <c r="I317">
        <f t="shared" si="10"/>
        <v>18</v>
      </c>
    </row>
    <row r="318" spans="1:9" x14ac:dyDescent="0.2">
      <c r="A318">
        <v>20250428</v>
      </c>
      <c r="B318" t="s">
        <v>7</v>
      </c>
      <c r="C318" t="s">
        <v>8</v>
      </c>
      <c r="D318">
        <v>2</v>
      </c>
      <c r="E318">
        <v>63.5</v>
      </c>
      <c r="F318">
        <v>0</v>
      </c>
      <c r="G318">
        <v>0</v>
      </c>
      <c r="H318" s="1">
        <f t="shared" si="9"/>
        <v>45775</v>
      </c>
      <c r="I318">
        <f t="shared" si="10"/>
        <v>18</v>
      </c>
    </row>
    <row r="319" spans="1:9" x14ac:dyDescent="0.2">
      <c r="A319">
        <v>20250428</v>
      </c>
      <c r="B319" t="s">
        <v>9</v>
      </c>
      <c r="C319" t="s">
        <v>8</v>
      </c>
      <c r="D319">
        <v>1</v>
      </c>
      <c r="E319">
        <v>21</v>
      </c>
      <c r="F319">
        <v>0</v>
      </c>
      <c r="G319">
        <v>0</v>
      </c>
      <c r="H319" s="1">
        <f t="shared" si="9"/>
        <v>45775</v>
      </c>
      <c r="I319">
        <f t="shared" si="10"/>
        <v>18</v>
      </c>
    </row>
    <row r="320" spans="1:9" x14ac:dyDescent="0.2">
      <c r="A320">
        <v>20250428</v>
      </c>
      <c r="B320" t="s">
        <v>10</v>
      </c>
      <c r="C320" t="s">
        <v>8</v>
      </c>
      <c r="D320">
        <v>1</v>
      </c>
      <c r="E320">
        <v>21</v>
      </c>
      <c r="F320">
        <v>0</v>
      </c>
      <c r="G320">
        <v>0</v>
      </c>
      <c r="H320" s="1">
        <f t="shared" si="9"/>
        <v>45775</v>
      </c>
      <c r="I320">
        <f t="shared" si="10"/>
        <v>18</v>
      </c>
    </row>
    <row r="321" spans="1:9" x14ac:dyDescent="0.2">
      <c r="A321">
        <v>20250429</v>
      </c>
      <c r="B321" t="s">
        <v>7</v>
      </c>
      <c r="C321" t="s">
        <v>8</v>
      </c>
      <c r="D321">
        <v>5</v>
      </c>
      <c r="E321">
        <v>25.8</v>
      </c>
      <c r="F321">
        <v>0</v>
      </c>
      <c r="G321">
        <v>0</v>
      </c>
      <c r="H321" s="1">
        <f t="shared" si="9"/>
        <v>45776</v>
      </c>
      <c r="I321">
        <f t="shared" si="10"/>
        <v>18</v>
      </c>
    </row>
    <row r="322" spans="1:9" x14ac:dyDescent="0.2">
      <c r="A322">
        <v>20250429</v>
      </c>
      <c r="B322" t="s">
        <v>9</v>
      </c>
      <c r="C322" t="s">
        <v>15</v>
      </c>
      <c r="D322">
        <v>1</v>
      </c>
      <c r="E322">
        <v>2</v>
      </c>
      <c r="F322">
        <v>0</v>
      </c>
      <c r="G322">
        <v>0</v>
      </c>
      <c r="H322" s="1">
        <f t="shared" ref="H322:H385" si="11">DATE(LEFT(A322,4),MID(A322,5,2),RIGHT(A322,2))</f>
        <v>45776</v>
      </c>
      <c r="I322">
        <f t="shared" ref="I322:I385" si="12">WEEKNUM(H322)</f>
        <v>18</v>
      </c>
    </row>
    <row r="323" spans="1:9" x14ac:dyDescent="0.2">
      <c r="A323">
        <v>20250430</v>
      </c>
      <c r="B323" t="s">
        <v>12</v>
      </c>
      <c r="C323" t="s">
        <v>15</v>
      </c>
      <c r="D323">
        <v>2</v>
      </c>
      <c r="E323">
        <v>1</v>
      </c>
      <c r="F323">
        <v>0</v>
      </c>
      <c r="G323">
        <v>0</v>
      </c>
      <c r="H323" s="1">
        <f t="shared" si="11"/>
        <v>45777</v>
      </c>
      <c r="I323">
        <f t="shared" si="12"/>
        <v>18</v>
      </c>
    </row>
    <row r="324" spans="1:9" x14ac:dyDescent="0.2">
      <c r="A324">
        <v>20250430</v>
      </c>
      <c r="B324" t="s">
        <v>16</v>
      </c>
      <c r="C324" t="s">
        <v>18</v>
      </c>
      <c r="D324">
        <v>3</v>
      </c>
      <c r="E324">
        <v>1</v>
      </c>
      <c r="F324">
        <v>0</v>
      </c>
      <c r="G324">
        <v>0</v>
      </c>
      <c r="H324" s="1">
        <f t="shared" si="11"/>
        <v>45777</v>
      </c>
      <c r="I324">
        <f t="shared" si="12"/>
        <v>18</v>
      </c>
    </row>
    <row r="325" spans="1:9" x14ac:dyDescent="0.2">
      <c r="A325">
        <v>20250430</v>
      </c>
      <c r="B325" t="s">
        <v>7</v>
      </c>
      <c r="C325" t="s">
        <v>8</v>
      </c>
      <c r="D325">
        <v>1</v>
      </c>
      <c r="E325">
        <v>33</v>
      </c>
      <c r="F325">
        <v>0</v>
      </c>
      <c r="G325">
        <v>0</v>
      </c>
      <c r="H325" s="1">
        <f t="shared" si="11"/>
        <v>45777</v>
      </c>
      <c r="I325">
        <f t="shared" si="12"/>
        <v>18</v>
      </c>
    </row>
    <row r="326" spans="1:9" x14ac:dyDescent="0.2">
      <c r="A326">
        <v>20250430</v>
      </c>
      <c r="B326" t="s">
        <v>9</v>
      </c>
      <c r="C326" t="s">
        <v>15</v>
      </c>
      <c r="D326">
        <v>1</v>
      </c>
      <c r="E326">
        <v>2</v>
      </c>
      <c r="F326">
        <v>0</v>
      </c>
      <c r="G326">
        <v>0</v>
      </c>
      <c r="H326" s="1">
        <f t="shared" si="11"/>
        <v>45777</v>
      </c>
      <c r="I326">
        <f t="shared" si="12"/>
        <v>18</v>
      </c>
    </row>
    <row r="327" spans="1:9" x14ac:dyDescent="0.2">
      <c r="A327">
        <v>20250430</v>
      </c>
      <c r="B327" t="s">
        <v>10</v>
      </c>
      <c r="C327" t="s">
        <v>8</v>
      </c>
      <c r="D327">
        <v>4</v>
      </c>
      <c r="E327">
        <v>1</v>
      </c>
      <c r="F327">
        <v>0</v>
      </c>
      <c r="G327">
        <v>0</v>
      </c>
      <c r="H327" s="1">
        <f t="shared" si="11"/>
        <v>45777</v>
      </c>
      <c r="I327">
        <f t="shared" si="12"/>
        <v>18</v>
      </c>
    </row>
    <row r="328" spans="1:9" x14ac:dyDescent="0.2">
      <c r="A328">
        <v>20250430</v>
      </c>
      <c r="B328" t="s">
        <v>10</v>
      </c>
      <c r="C328" t="s">
        <v>11</v>
      </c>
      <c r="D328">
        <v>2</v>
      </c>
      <c r="E328">
        <v>1</v>
      </c>
      <c r="F328">
        <v>0</v>
      </c>
      <c r="G328">
        <v>0</v>
      </c>
      <c r="H328" s="1">
        <f t="shared" si="11"/>
        <v>45777</v>
      </c>
      <c r="I328">
        <f t="shared" si="12"/>
        <v>18</v>
      </c>
    </row>
    <row r="329" spans="1:9" x14ac:dyDescent="0.2">
      <c r="A329">
        <v>20250501</v>
      </c>
      <c r="B329" t="s">
        <v>19</v>
      </c>
      <c r="C329" t="s">
        <v>8</v>
      </c>
      <c r="D329">
        <v>1</v>
      </c>
      <c r="E329">
        <v>18</v>
      </c>
      <c r="F329">
        <v>0</v>
      </c>
      <c r="G329">
        <v>0</v>
      </c>
      <c r="H329" s="1">
        <f t="shared" si="11"/>
        <v>45778</v>
      </c>
      <c r="I329">
        <f t="shared" si="12"/>
        <v>18</v>
      </c>
    </row>
    <row r="330" spans="1:9" x14ac:dyDescent="0.2">
      <c r="A330">
        <v>20250501</v>
      </c>
      <c r="B330" t="s">
        <v>16</v>
      </c>
      <c r="C330" t="s">
        <v>8</v>
      </c>
      <c r="D330">
        <v>1</v>
      </c>
      <c r="E330">
        <v>25</v>
      </c>
      <c r="F330">
        <v>0</v>
      </c>
      <c r="G330">
        <v>0</v>
      </c>
      <c r="H330" s="1">
        <f t="shared" si="11"/>
        <v>45778</v>
      </c>
      <c r="I330">
        <f t="shared" si="12"/>
        <v>18</v>
      </c>
    </row>
    <row r="331" spans="1:9" x14ac:dyDescent="0.2">
      <c r="A331">
        <v>20250501</v>
      </c>
      <c r="B331" t="s">
        <v>7</v>
      </c>
      <c r="C331" t="s">
        <v>8</v>
      </c>
      <c r="D331">
        <v>1</v>
      </c>
      <c r="E331">
        <v>33</v>
      </c>
      <c r="F331">
        <v>0</v>
      </c>
      <c r="G331">
        <v>0</v>
      </c>
      <c r="H331" s="1">
        <f t="shared" si="11"/>
        <v>45778</v>
      </c>
      <c r="I331">
        <f t="shared" si="12"/>
        <v>18</v>
      </c>
    </row>
    <row r="332" spans="1:9" x14ac:dyDescent="0.2">
      <c r="A332">
        <v>20250501</v>
      </c>
      <c r="B332" t="s">
        <v>7</v>
      </c>
      <c r="C332" t="s">
        <v>24</v>
      </c>
      <c r="D332">
        <v>1</v>
      </c>
      <c r="E332">
        <v>24</v>
      </c>
      <c r="F332">
        <v>0</v>
      </c>
      <c r="G332">
        <v>0</v>
      </c>
      <c r="H332" s="1">
        <f t="shared" si="11"/>
        <v>45778</v>
      </c>
      <c r="I332">
        <f t="shared" si="12"/>
        <v>18</v>
      </c>
    </row>
    <row r="333" spans="1:9" x14ac:dyDescent="0.2">
      <c r="A333">
        <v>20250501</v>
      </c>
      <c r="B333" t="s">
        <v>9</v>
      </c>
      <c r="C333" t="s">
        <v>13</v>
      </c>
      <c r="D333">
        <v>1</v>
      </c>
      <c r="E333">
        <v>45</v>
      </c>
      <c r="F333">
        <v>0</v>
      </c>
      <c r="G333">
        <v>0</v>
      </c>
      <c r="H333" s="1">
        <f t="shared" si="11"/>
        <v>45778</v>
      </c>
      <c r="I333">
        <f t="shared" si="12"/>
        <v>18</v>
      </c>
    </row>
    <row r="334" spans="1:9" x14ac:dyDescent="0.2">
      <c r="A334">
        <v>20250502</v>
      </c>
      <c r="B334" t="s">
        <v>19</v>
      </c>
      <c r="C334" t="s">
        <v>15</v>
      </c>
      <c r="D334">
        <v>3</v>
      </c>
      <c r="E334">
        <v>1</v>
      </c>
      <c r="F334">
        <v>0</v>
      </c>
      <c r="G334">
        <v>0</v>
      </c>
      <c r="H334" s="1">
        <f t="shared" si="11"/>
        <v>45779</v>
      </c>
      <c r="I334">
        <f t="shared" si="12"/>
        <v>18</v>
      </c>
    </row>
    <row r="335" spans="1:9" x14ac:dyDescent="0.2">
      <c r="A335">
        <v>20250502</v>
      </c>
      <c r="B335" t="s">
        <v>7</v>
      </c>
      <c r="C335" t="s">
        <v>8</v>
      </c>
      <c r="D335">
        <v>3</v>
      </c>
      <c r="E335">
        <v>14.6666666666666</v>
      </c>
      <c r="F335">
        <v>0</v>
      </c>
      <c r="G335">
        <v>0</v>
      </c>
      <c r="H335" s="1">
        <f t="shared" si="11"/>
        <v>45779</v>
      </c>
      <c r="I335">
        <f t="shared" si="12"/>
        <v>18</v>
      </c>
    </row>
    <row r="336" spans="1:9" x14ac:dyDescent="0.2">
      <c r="A336">
        <v>20250502</v>
      </c>
      <c r="B336" t="s">
        <v>9</v>
      </c>
      <c r="C336" t="s">
        <v>13</v>
      </c>
      <c r="D336">
        <v>2</v>
      </c>
      <c r="E336">
        <v>48.5</v>
      </c>
      <c r="F336">
        <v>0</v>
      </c>
      <c r="G336">
        <v>0</v>
      </c>
      <c r="H336" s="1">
        <f t="shared" si="11"/>
        <v>45779</v>
      </c>
      <c r="I336">
        <f t="shared" si="12"/>
        <v>18</v>
      </c>
    </row>
    <row r="337" spans="1:9" x14ac:dyDescent="0.2">
      <c r="A337">
        <v>20250503</v>
      </c>
      <c r="B337" t="s">
        <v>12</v>
      </c>
      <c r="C337" t="s">
        <v>13</v>
      </c>
      <c r="D337">
        <v>1</v>
      </c>
      <c r="E337">
        <v>78</v>
      </c>
      <c r="F337">
        <v>0</v>
      </c>
      <c r="G337">
        <v>0</v>
      </c>
      <c r="H337" s="1">
        <f t="shared" si="11"/>
        <v>45780</v>
      </c>
      <c r="I337">
        <f t="shared" si="12"/>
        <v>18</v>
      </c>
    </row>
    <row r="338" spans="1:9" x14ac:dyDescent="0.2">
      <c r="A338">
        <v>20250503</v>
      </c>
      <c r="B338" t="s">
        <v>9</v>
      </c>
      <c r="C338" t="s">
        <v>13</v>
      </c>
      <c r="D338">
        <v>2</v>
      </c>
      <c r="E338">
        <v>2</v>
      </c>
      <c r="F338">
        <v>0</v>
      </c>
      <c r="G338">
        <v>0</v>
      </c>
      <c r="H338" s="1">
        <f t="shared" si="11"/>
        <v>45780</v>
      </c>
      <c r="I338">
        <f t="shared" si="12"/>
        <v>18</v>
      </c>
    </row>
    <row r="339" spans="1:9" x14ac:dyDescent="0.2">
      <c r="A339">
        <v>20250503</v>
      </c>
      <c r="B339" t="s">
        <v>10</v>
      </c>
      <c r="C339" t="s">
        <v>13</v>
      </c>
      <c r="D339">
        <v>1</v>
      </c>
      <c r="E339">
        <v>2</v>
      </c>
      <c r="F339">
        <v>0</v>
      </c>
      <c r="G339">
        <v>0</v>
      </c>
      <c r="H339" s="1">
        <f t="shared" si="11"/>
        <v>45780</v>
      </c>
      <c r="I339">
        <f t="shared" si="12"/>
        <v>18</v>
      </c>
    </row>
    <row r="340" spans="1:9" x14ac:dyDescent="0.2">
      <c r="A340">
        <v>20250504</v>
      </c>
      <c r="B340" t="s">
        <v>16</v>
      </c>
      <c r="C340" t="s">
        <v>8</v>
      </c>
      <c r="D340">
        <v>3</v>
      </c>
      <c r="E340">
        <v>36</v>
      </c>
      <c r="F340">
        <v>0</v>
      </c>
      <c r="G340">
        <v>0</v>
      </c>
      <c r="H340" s="1">
        <f t="shared" si="11"/>
        <v>45781</v>
      </c>
      <c r="I340">
        <f t="shared" si="12"/>
        <v>19</v>
      </c>
    </row>
    <row r="341" spans="1:9" x14ac:dyDescent="0.2">
      <c r="A341">
        <v>20250504</v>
      </c>
      <c r="B341" t="s">
        <v>7</v>
      </c>
      <c r="C341" t="s">
        <v>8</v>
      </c>
      <c r="D341">
        <v>2</v>
      </c>
      <c r="E341">
        <v>24</v>
      </c>
      <c r="F341">
        <v>0</v>
      </c>
      <c r="G341">
        <v>4</v>
      </c>
      <c r="H341" s="1">
        <f t="shared" si="11"/>
        <v>45781</v>
      </c>
      <c r="I341">
        <f t="shared" si="12"/>
        <v>19</v>
      </c>
    </row>
    <row r="342" spans="1:9" x14ac:dyDescent="0.2">
      <c r="A342">
        <v>20250504</v>
      </c>
      <c r="B342" t="s">
        <v>10</v>
      </c>
      <c r="C342" t="s">
        <v>22</v>
      </c>
      <c r="D342">
        <v>1</v>
      </c>
      <c r="E342">
        <v>1</v>
      </c>
      <c r="F342">
        <v>0</v>
      </c>
      <c r="G342">
        <v>0</v>
      </c>
      <c r="H342" s="1">
        <f t="shared" si="11"/>
        <v>45781</v>
      </c>
      <c r="I342">
        <f t="shared" si="12"/>
        <v>19</v>
      </c>
    </row>
    <row r="343" spans="1:9" x14ac:dyDescent="0.2">
      <c r="A343">
        <v>20250505</v>
      </c>
      <c r="B343" t="s">
        <v>7</v>
      </c>
      <c r="C343" t="s">
        <v>8</v>
      </c>
      <c r="D343">
        <v>3</v>
      </c>
      <c r="E343">
        <v>22.3333333333333</v>
      </c>
      <c r="F343">
        <v>0</v>
      </c>
      <c r="G343">
        <v>0</v>
      </c>
      <c r="H343" s="1">
        <f t="shared" si="11"/>
        <v>45782</v>
      </c>
      <c r="I343">
        <f t="shared" si="12"/>
        <v>19</v>
      </c>
    </row>
    <row r="344" spans="1:9" x14ac:dyDescent="0.2">
      <c r="A344">
        <v>20250505</v>
      </c>
      <c r="B344" t="s">
        <v>10</v>
      </c>
      <c r="C344" t="s">
        <v>28</v>
      </c>
      <c r="D344">
        <v>2</v>
      </c>
      <c r="E344">
        <v>41.5</v>
      </c>
      <c r="F344">
        <v>0</v>
      </c>
      <c r="G344">
        <v>0</v>
      </c>
      <c r="H344" s="1">
        <f t="shared" si="11"/>
        <v>45782</v>
      </c>
      <c r="I344">
        <f t="shared" si="12"/>
        <v>19</v>
      </c>
    </row>
    <row r="345" spans="1:9" x14ac:dyDescent="0.2">
      <c r="A345">
        <v>20250505</v>
      </c>
      <c r="B345" t="s">
        <v>10</v>
      </c>
      <c r="C345" t="s">
        <v>8</v>
      </c>
      <c r="D345">
        <v>1</v>
      </c>
      <c r="E345">
        <v>7</v>
      </c>
      <c r="F345">
        <v>0</v>
      </c>
      <c r="G345">
        <v>0</v>
      </c>
      <c r="H345" s="1">
        <f t="shared" si="11"/>
        <v>45782</v>
      </c>
      <c r="I345">
        <f t="shared" si="12"/>
        <v>19</v>
      </c>
    </row>
    <row r="346" spans="1:9" x14ac:dyDescent="0.2">
      <c r="A346">
        <v>20250506</v>
      </c>
      <c r="B346" t="s">
        <v>7</v>
      </c>
      <c r="C346" t="s">
        <v>24</v>
      </c>
      <c r="D346">
        <v>1</v>
      </c>
      <c r="E346">
        <v>33</v>
      </c>
      <c r="F346">
        <v>0</v>
      </c>
      <c r="G346">
        <v>0</v>
      </c>
      <c r="H346" s="1">
        <f t="shared" si="11"/>
        <v>45783</v>
      </c>
      <c r="I346">
        <f t="shared" si="12"/>
        <v>19</v>
      </c>
    </row>
    <row r="347" spans="1:9" x14ac:dyDescent="0.2">
      <c r="A347">
        <v>20250506</v>
      </c>
      <c r="B347" t="s">
        <v>9</v>
      </c>
      <c r="C347" t="s">
        <v>18</v>
      </c>
      <c r="D347">
        <v>1</v>
      </c>
      <c r="E347">
        <v>1</v>
      </c>
      <c r="F347">
        <v>0</v>
      </c>
      <c r="G347">
        <v>0</v>
      </c>
      <c r="H347" s="1">
        <f t="shared" si="11"/>
        <v>45783</v>
      </c>
      <c r="I347">
        <f t="shared" si="12"/>
        <v>19</v>
      </c>
    </row>
    <row r="348" spans="1:9" x14ac:dyDescent="0.2">
      <c r="A348">
        <v>20250506</v>
      </c>
      <c r="B348" t="s">
        <v>10</v>
      </c>
      <c r="C348" t="s">
        <v>22</v>
      </c>
      <c r="D348">
        <v>1</v>
      </c>
      <c r="E348">
        <v>15</v>
      </c>
      <c r="F348">
        <v>0</v>
      </c>
      <c r="G348">
        <v>0</v>
      </c>
      <c r="H348" s="1">
        <f t="shared" si="11"/>
        <v>45783</v>
      </c>
      <c r="I348">
        <f t="shared" si="12"/>
        <v>19</v>
      </c>
    </row>
    <row r="349" spans="1:9" x14ac:dyDescent="0.2">
      <c r="A349">
        <v>20250507</v>
      </c>
      <c r="B349" t="s">
        <v>19</v>
      </c>
      <c r="C349" t="s">
        <v>8</v>
      </c>
      <c r="D349">
        <v>1</v>
      </c>
      <c r="E349">
        <v>1</v>
      </c>
      <c r="F349">
        <v>0</v>
      </c>
      <c r="G349">
        <v>0</v>
      </c>
      <c r="H349" s="1">
        <f t="shared" si="11"/>
        <v>45784</v>
      </c>
      <c r="I349">
        <f t="shared" si="12"/>
        <v>19</v>
      </c>
    </row>
    <row r="350" spans="1:9" x14ac:dyDescent="0.2">
      <c r="A350">
        <v>20250507</v>
      </c>
      <c r="B350" t="s">
        <v>16</v>
      </c>
      <c r="C350" t="s">
        <v>8</v>
      </c>
      <c r="D350">
        <v>3</v>
      </c>
      <c r="E350">
        <v>18</v>
      </c>
      <c r="F350">
        <v>0</v>
      </c>
      <c r="G350">
        <v>0</v>
      </c>
      <c r="H350" s="1">
        <f t="shared" si="11"/>
        <v>45784</v>
      </c>
      <c r="I350">
        <f t="shared" si="12"/>
        <v>19</v>
      </c>
    </row>
    <row r="351" spans="1:9" x14ac:dyDescent="0.2">
      <c r="A351">
        <v>20250507</v>
      </c>
      <c r="B351" t="s">
        <v>9</v>
      </c>
      <c r="C351" t="s">
        <v>8</v>
      </c>
      <c r="D351">
        <v>2</v>
      </c>
      <c r="E351">
        <v>1</v>
      </c>
      <c r="F351">
        <v>0</v>
      </c>
      <c r="G351">
        <v>0</v>
      </c>
      <c r="H351" s="1">
        <f t="shared" si="11"/>
        <v>45784</v>
      </c>
      <c r="I351">
        <f t="shared" si="12"/>
        <v>19</v>
      </c>
    </row>
    <row r="352" spans="1:9" x14ac:dyDescent="0.2">
      <c r="A352">
        <v>20250508</v>
      </c>
      <c r="B352" t="s">
        <v>16</v>
      </c>
      <c r="C352" t="s">
        <v>8</v>
      </c>
      <c r="D352">
        <v>2</v>
      </c>
      <c r="E352">
        <v>28</v>
      </c>
      <c r="F352">
        <v>0</v>
      </c>
      <c r="G352">
        <v>0</v>
      </c>
      <c r="H352" s="1">
        <f t="shared" si="11"/>
        <v>45785</v>
      </c>
      <c r="I352">
        <f t="shared" si="12"/>
        <v>19</v>
      </c>
    </row>
    <row r="353" spans="1:9" x14ac:dyDescent="0.2">
      <c r="A353">
        <v>20250508</v>
      </c>
      <c r="B353" t="s">
        <v>7</v>
      </c>
      <c r="C353" t="s">
        <v>8</v>
      </c>
      <c r="D353">
        <v>5</v>
      </c>
      <c r="E353">
        <v>4</v>
      </c>
      <c r="F353">
        <v>0</v>
      </c>
      <c r="G353">
        <v>0</v>
      </c>
      <c r="H353" s="1">
        <f t="shared" si="11"/>
        <v>45785</v>
      </c>
      <c r="I353">
        <f t="shared" si="12"/>
        <v>19</v>
      </c>
    </row>
    <row r="354" spans="1:9" x14ac:dyDescent="0.2">
      <c r="A354">
        <v>20250508</v>
      </c>
      <c r="B354" t="s">
        <v>9</v>
      </c>
      <c r="C354" t="s">
        <v>8</v>
      </c>
      <c r="D354">
        <v>1</v>
      </c>
      <c r="E354">
        <v>79</v>
      </c>
      <c r="F354">
        <v>0</v>
      </c>
      <c r="G354">
        <v>0</v>
      </c>
      <c r="H354" s="1">
        <f t="shared" si="11"/>
        <v>45785</v>
      </c>
      <c r="I354">
        <f t="shared" si="12"/>
        <v>19</v>
      </c>
    </row>
    <row r="355" spans="1:9" x14ac:dyDescent="0.2">
      <c r="A355">
        <v>20250508</v>
      </c>
      <c r="B355" t="s">
        <v>10</v>
      </c>
      <c r="C355" t="s">
        <v>8</v>
      </c>
      <c r="D355">
        <v>1</v>
      </c>
      <c r="E355">
        <v>28</v>
      </c>
      <c r="F355">
        <v>0</v>
      </c>
      <c r="G355">
        <v>0</v>
      </c>
      <c r="H355" s="1">
        <f t="shared" si="11"/>
        <v>45785</v>
      </c>
      <c r="I355">
        <f t="shared" si="12"/>
        <v>19</v>
      </c>
    </row>
    <row r="356" spans="1:9" x14ac:dyDescent="0.2">
      <c r="A356">
        <v>20250509</v>
      </c>
      <c r="B356" t="s">
        <v>16</v>
      </c>
      <c r="C356" t="s">
        <v>8</v>
      </c>
      <c r="D356">
        <v>5</v>
      </c>
      <c r="E356">
        <v>13.4</v>
      </c>
      <c r="F356">
        <v>0</v>
      </c>
      <c r="G356">
        <v>0</v>
      </c>
      <c r="H356" s="1">
        <f t="shared" si="11"/>
        <v>45786</v>
      </c>
      <c r="I356">
        <f t="shared" si="12"/>
        <v>19</v>
      </c>
    </row>
    <row r="357" spans="1:9" x14ac:dyDescent="0.2">
      <c r="A357">
        <v>20250509</v>
      </c>
      <c r="B357" t="s">
        <v>10</v>
      </c>
      <c r="C357" t="s">
        <v>8</v>
      </c>
      <c r="D357">
        <v>1</v>
      </c>
      <c r="E357">
        <v>14</v>
      </c>
      <c r="F357">
        <v>0</v>
      </c>
      <c r="G357">
        <v>0</v>
      </c>
      <c r="H357" s="1">
        <f t="shared" si="11"/>
        <v>45786</v>
      </c>
      <c r="I357">
        <f t="shared" si="12"/>
        <v>19</v>
      </c>
    </row>
    <row r="358" spans="1:9" x14ac:dyDescent="0.2">
      <c r="A358">
        <v>20250510</v>
      </c>
      <c r="B358" t="s">
        <v>19</v>
      </c>
      <c r="C358" t="s">
        <v>8</v>
      </c>
      <c r="D358">
        <v>1</v>
      </c>
      <c r="E358">
        <v>38</v>
      </c>
      <c r="F358">
        <v>0</v>
      </c>
      <c r="G358">
        <v>0</v>
      </c>
      <c r="H358" s="1">
        <f t="shared" si="11"/>
        <v>45787</v>
      </c>
      <c r="I358">
        <f t="shared" si="12"/>
        <v>19</v>
      </c>
    </row>
    <row r="359" spans="1:9" x14ac:dyDescent="0.2">
      <c r="A359">
        <v>20250510</v>
      </c>
      <c r="B359" t="s">
        <v>7</v>
      </c>
      <c r="C359" t="s">
        <v>8</v>
      </c>
      <c r="D359">
        <v>9</v>
      </c>
      <c r="E359">
        <v>21</v>
      </c>
      <c r="F359">
        <v>0</v>
      </c>
      <c r="G359">
        <v>0</v>
      </c>
      <c r="H359" s="1">
        <f t="shared" si="11"/>
        <v>45787</v>
      </c>
      <c r="I359">
        <f t="shared" si="12"/>
        <v>19</v>
      </c>
    </row>
    <row r="360" spans="1:9" x14ac:dyDescent="0.2">
      <c r="A360">
        <v>20250510</v>
      </c>
      <c r="B360" t="s">
        <v>9</v>
      </c>
      <c r="C360" t="s">
        <v>8</v>
      </c>
      <c r="D360">
        <v>3</v>
      </c>
      <c r="E360">
        <v>48.6666666666666</v>
      </c>
      <c r="F360">
        <v>0</v>
      </c>
      <c r="G360">
        <v>0</v>
      </c>
      <c r="H360" s="1">
        <f t="shared" si="11"/>
        <v>45787</v>
      </c>
      <c r="I360">
        <f t="shared" si="12"/>
        <v>19</v>
      </c>
    </row>
    <row r="361" spans="1:9" x14ac:dyDescent="0.2">
      <c r="A361">
        <v>20250510</v>
      </c>
      <c r="B361" t="s">
        <v>10</v>
      </c>
      <c r="C361" t="s">
        <v>8</v>
      </c>
      <c r="D361">
        <v>8</v>
      </c>
      <c r="E361">
        <v>31.75</v>
      </c>
      <c r="F361">
        <v>0</v>
      </c>
      <c r="G361">
        <v>0</v>
      </c>
      <c r="H361" s="1">
        <f t="shared" si="11"/>
        <v>45787</v>
      </c>
      <c r="I361">
        <f t="shared" si="12"/>
        <v>19</v>
      </c>
    </row>
    <row r="362" spans="1:9" x14ac:dyDescent="0.2">
      <c r="A362">
        <v>20250511</v>
      </c>
      <c r="B362" t="s">
        <v>7</v>
      </c>
      <c r="C362" t="s">
        <v>8</v>
      </c>
      <c r="D362">
        <v>13</v>
      </c>
      <c r="E362">
        <v>10.769230769230701</v>
      </c>
      <c r="F362">
        <v>1</v>
      </c>
      <c r="G362">
        <v>4</v>
      </c>
      <c r="H362" s="1">
        <f t="shared" si="11"/>
        <v>45788</v>
      </c>
      <c r="I362">
        <f t="shared" si="12"/>
        <v>20</v>
      </c>
    </row>
    <row r="363" spans="1:9" x14ac:dyDescent="0.2">
      <c r="A363">
        <v>20250511</v>
      </c>
      <c r="B363" t="s">
        <v>23</v>
      </c>
      <c r="C363" t="s">
        <v>27</v>
      </c>
      <c r="D363">
        <v>3</v>
      </c>
      <c r="E363">
        <v>36</v>
      </c>
      <c r="F363">
        <v>0</v>
      </c>
      <c r="G363">
        <v>0</v>
      </c>
      <c r="H363" s="1">
        <f t="shared" si="11"/>
        <v>45788</v>
      </c>
      <c r="I363">
        <f t="shared" si="12"/>
        <v>20</v>
      </c>
    </row>
    <row r="364" spans="1:9" x14ac:dyDescent="0.2">
      <c r="A364">
        <v>20250511</v>
      </c>
      <c r="B364" t="s">
        <v>9</v>
      </c>
      <c r="C364" t="s">
        <v>8</v>
      </c>
      <c r="D364">
        <v>2</v>
      </c>
      <c r="E364">
        <v>48</v>
      </c>
      <c r="F364">
        <v>0</v>
      </c>
      <c r="G364">
        <v>0</v>
      </c>
      <c r="H364" s="1">
        <f t="shared" si="11"/>
        <v>45788</v>
      </c>
      <c r="I364">
        <f t="shared" si="12"/>
        <v>20</v>
      </c>
    </row>
    <row r="365" spans="1:9" x14ac:dyDescent="0.2">
      <c r="A365">
        <v>20250511</v>
      </c>
      <c r="B365" t="s">
        <v>10</v>
      </c>
      <c r="C365" t="s">
        <v>8</v>
      </c>
      <c r="D365">
        <v>5</v>
      </c>
      <c r="E365">
        <v>31.6</v>
      </c>
      <c r="F365">
        <v>0</v>
      </c>
      <c r="G365">
        <v>0</v>
      </c>
      <c r="H365" s="1">
        <f t="shared" si="11"/>
        <v>45788</v>
      </c>
      <c r="I365">
        <f t="shared" si="12"/>
        <v>20</v>
      </c>
    </row>
    <row r="366" spans="1:9" x14ac:dyDescent="0.2">
      <c r="A366">
        <v>20250512</v>
      </c>
      <c r="B366" t="s">
        <v>16</v>
      </c>
      <c r="C366" t="s">
        <v>8</v>
      </c>
      <c r="D366">
        <v>1</v>
      </c>
      <c r="E366">
        <v>2</v>
      </c>
      <c r="F366">
        <v>0</v>
      </c>
      <c r="G366">
        <v>0</v>
      </c>
      <c r="H366" s="1">
        <f t="shared" si="11"/>
        <v>45789</v>
      </c>
      <c r="I366">
        <f t="shared" si="12"/>
        <v>20</v>
      </c>
    </row>
    <row r="367" spans="1:9" x14ac:dyDescent="0.2">
      <c r="A367">
        <v>20250512</v>
      </c>
      <c r="B367" t="s">
        <v>7</v>
      </c>
      <c r="C367" t="s">
        <v>8</v>
      </c>
      <c r="D367">
        <v>23</v>
      </c>
      <c r="E367">
        <v>43.652173913043399</v>
      </c>
      <c r="F367">
        <v>0</v>
      </c>
      <c r="G367">
        <v>1</v>
      </c>
      <c r="H367" s="1">
        <f t="shared" si="11"/>
        <v>45789</v>
      </c>
      <c r="I367">
        <f t="shared" si="12"/>
        <v>20</v>
      </c>
    </row>
    <row r="368" spans="1:9" x14ac:dyDescent="0.2">
      <c r="A368">
        <v>20250513</v>
      </c>
      <c r="B368" t="s">
        <v>19</v>
      </c>
      <c r="C368" t="s">
        <v>8</v>
      </c>
      <c r="D368">
        <v>3</v>
      </c>
      <c r="E368">
        <v>22.6666666666666</v>
      </c>
      <c r="F368">
        <v>0</v>
      </c>
      <c r="G368">
        <v>0</v>
      </c>
      <c r="H368" s="1">
        <f t="shared" si="11"/>
        <v>45790</v>
      </c>
      <c r="I368">
        <f t="shared" si="12"/>
        <v>20</v>
      </c>
    </row>
    <row r="369" spans="1:9" x14ac:dyDescent="0.2">
      <c r="A369">
        <v>20250513</v>
      </c>
      <c r="B369" t="s">
        <v>12</v>
      </c>
      <c r="C369" t="s">
        <v>8</v>
      </c>
      <c r="D369">
        <v>2</v>
      </c>
      <c r="E369">
        <v>9.5</v>
      </c>
      <c r="F369">
        <v>0</v>
      </c>
      <c r="G369">
        <v>0</v>
      </c>
      <c r="H369" s="1">
        <f t="shared" si="11"/>
        <v>45790</v>
      </c>
      <c r="I369">
        <f t="shared" si="12"/>
        <v>20</v>
      </c>
    </row>
    <row r="370" spans="1:9" x14ac:dyDescent="0.2">
      <c r="A370">
        <v>20250513</v>
      </c>
      <c r="B370" t="s">
        <v>16</v>
      </c>
      <c r="C370" t="s">
        <v>8</v>
      </c>
      <c r="D370">
        <v>4</v>
      </c>
      <c r="E370">
        <v>32.75</v>
      </c>
      <c r="F370">
        <v>0</v>
      </c>
      <c r="G370">
        <v>0</v>
      </c>
      <c r="H370" s="1">
        <f t="shared" si="11"/>
        <v>45790</v>
      </c>
      <c r="I370">
        <f t="shared" si="12"/>
        <v>20</v>
      </c>
    </row>
    <row r="371" spans="1:9" x14ac:dyDescent="0.2">
      <c r="A371">
        <v>20250513</v>
      </c>
      <c r="B371" t="s">
        <v>7</v>
      </c>
      <c r="C371" t="s">
        <v>8</v>
      </c>
      <c r="D371">
        <v>15</v>
      </c>
      <c r="E371">
        <v>36.4</v>
      </c>
      <c r="F371">
        <v>0</v>
      </c>
      <c r="G371">
        <v>0</v>
      </c>
      <c r="H371" s="1">
        <f t="shared" si="11"/>
        <v>45790</v>
      </c>
      <c r="I371">
        <f t="shared" si="12"/>
        <v>20</v>
      </c>
    </row>
    <row r="372" spans="1:9" x14ac:dyDescent="0.2">
      <c r="A372">
        <v>20250513</v>
      </c>
      <c r="B372" t="s">
        <v>9</v>
      </c>
      <c r="C372" t="s">
        <v>8</v>
      </c>
      <c r="D372">
        <v>1</v>
      </c>
      <c r="E372">
        <v>48</v>
      </c>
      <c r="F372">
        <v>0</v>
      </c>
      <c r="G372">
        <v>0</v>
      </c>
      <c r="H372" s="1">
        <f t="shared" si="11"/>
        <v>45790</v>
      </c>
      <c r="I372">
        <f t="shared" si="12"/>
        <v>20</v>
      </c>
    </row>
    <row r="373" spans="1:9" x14ac:dyDescent="0.2">
      <c r="A373">
        <v>20250513</v>
      </c>
      <c r="B373" t="s">
        <v>10</v>
      </c>
      <c r="C373" t="s">
        <v>8</v>
      </c>
      <c r="D373">
        <v>8</v>
      </c>
      <c r="E373">
        <v>40.625</v>
      </c>
      <c r="F373">
        <v>0</v>
      </c>
      <c r="G373">
        <v>0</v>
      </c>
      <c r="H373" s="1">
        <f t="shared" si="11"/>
        <v>45790</v>
      </c>
      <c r="I373">
        <f t="shared" si="12"/>
        <v>20</v>
      </c>
    </row>
    <row r="374" spans="1:9" x14ac:dyDescent="0.2">
      <c r="A374">
        <v>20250514</v>
      </c>
      <c r="B374" t="s">
        <v>19</v>
      </c>
      <c r="C374" t="s">
        <v>8</v>
      </c>
      <c r="D374">
        <v>1</v>
      </c>
      <c r="E374">
        <v>63</v>
      </c>
      <c r="F374">
        <v>0</v>
      </c>
      <c r="G374">
        <v>0</v>
      </c>
      <c r="H374" s="1">
        <f t="shared" si="11"/>
        <v>45791</v>
      </c>
      <c r="I374">
        <f t="shared" si="12"/>
        <v>20</v>
      </c>
    </row>
    <row r="375" spans="1:9" x14ac:dyDescent="0.2">
      <c r="A375">
        <v>20250514</v>
      </c>
      <c r="B375" t="s">
        <v>16</v>
      </c>
      <c r="C375" t="s">
        <v>8</v>
      </c>
      <c r="D375">
        <v>1</v>
      </c>
      <c r="E375">
        <v>31</v>
      </c>
      <c r="F375">
        <v>0</v>
      </c>
      <c r="G375">
        <v>0</v>
      </c>
      <c r="H375" s="1">
        <f t="shared" si="11"/>
        <v>45791</v>
      </c>
      <c r="I375">
        <f t="shared" si="12"/>
        <v>20</v>
      </c>
    </row>
    <row r="376" spans="1:9" x14ac:dyDescent="0.2">
      <c r="A376">
        <v>20250514</v>
      </c>
      <c r="B376" t="s">
        <v>7</v>
      </c>
      <c r="C376" t="s">
        <v>8</v>
      </c>
      <c r="D376">
        <v>21</v>
      </c>
      <c r="E376">
        <v>65.142857142857096</v>
      </c>
      <c r="F376">
        <v>0</v>
      </c>
      <c r="G376">
        <v>0</v>
      </c>
      <c r="H376" s="1">
        <f t="shared" si="11"/>
        <v>45791</v>
      </c>
      <c r="I376">
        <f t="shared" si="12"/>
        <v>20</v>
      </c>
    </row>
    <row r="377" spans="1:9" x14ac:dyDescent="0.2">
      <c r="A377">
        <v>20250514</v>
      </c>
      <c r="B377" t="s">
        <v>7</v>
      </c>
      <c r="C377" t="s">
        <v>24</v>
      </c>
      <c r="D377">
        <v>1</v>
      </c>
      <c r="E377">
        <v>79</v>
      </c>
      <c r="F377">
        <v>0</v>
      </c>
      <c r="G377">
        <v>0</v>
      </c>
      <c r="H377" s="1">
        <f t="shared" si="11"/>
        <v>45791</v>
      </c>
      <c r="I377">
        <f t="shared" si="12"/>
        <v>20</v>
      </c>
    </row>
    <row r="378" spans="1:9" x14ac:dyDescent="0.2">
      <c r="A378">
        <v>20250514</v>
      </c>
      <c r="B378" t="s">
        <v>7</v>
      </c>
      <c r="C378" t="s">
        <v>27</v>
      </c>
      <c r="D378">
        <v>1</v>
      </c>
      <c r="E378">
        <v>20</v>
      </c>
      <c r="F378">
        <v>0</v>
      </c>
      <c r="G378">
        <v>0</v>
      </c>
      <c r="H378" s="1">
        <f t="shared" si="11"/>
        <v>45791</v>
      </c>
      <c r="I378">
        <f t="shared" si="12"/>
        <v>20</v>
      </c>
    </row>
    <row r="379" spans="1:9" x14ac:dyDescent="0.2">
      <c r="A379">
        <v>20250514</v>
      </c>
      <c r="B379" t="s">
        <v>10</v>
      </c>
      <c r="C379" t="s">
        <v>8</v>
      </c>
      <c r="D379">
        <v>5</v>
      </c>
      <c r="E379">
        <v>21.8</v>
      </c>
      <c r="F379">
        <v>0</v>
      </c>
      <c r="G379">
        <v>0</v>
      </c>
      <c r="H379" s="1">
        <f t="shared" si="11"/>
        <v>45791</v>
      </c>
      <c r="I379">
        <f t="shared" si="12"/>
        <v>20</v>
      </c>
    </row>
    <row r="380" spans="1:9" x14ac:dyDescent="0.2">
      <c r="A380">
        <v>20250515</v>
      </c>
      <c r="B380" t="s">
        <v>19</v>
      </c>
      <c r="C380" t="s">
        <v>8</v>
      </c>
      <c r="D380">
        <v>1</v>
      </c>
      <c r="E380">
        <v>12</v>
      </c>
      <c r="F380">
        <v>0</v>
      </c>
      <c r="G380">
        <v>0</v>
      </c>
      <c r="H380" s="1">
        <f t="shared" si="11"/>
        <v>45792</v>
      </c>
      <c r="I380">
        <f t="shared" si="12"/>
        <v>20</v>
      </c>
    </row>
    <row r="381" spans="1:9" x14ac:dyDescent="0.2">
      <c r="A381">
        <v>20250515</v>
      </c>
      <c r="B381" t="s">
        <v>7</v>
      </c>
      <c r="C381" t="s">
        <v>8</v>
      </c>
      <c r="D381">
        <v>22</v>
      </c>
      <c r="E381">
        <v>56.909090909090899</v>
      </c>
      <c r="F381">
        <v>0</v>
      </c>
      <c r="G381">
        <v>0</v>
      </c>
      <c r="H381" s="1">
        <f t="shared" si="11"/>
        <v>45792</v>
      </c>
      <c r="I381">
        <f t="shared" si="12"/>
        <v>20</v>
      </c>
    </row>
    <row r="382" spans="1:9" x14ac:dyDescent="0.2">
      <c r="A382">
        <v>20250515</v>
      </c>
      <c r="B382" t="s">
        <v>10</v>
      </c>
      <c r="C382" t="s">
        <v>8</v>
      </c>
      <c r="D382">
        <v>5</v>
      </c>
      <c r="E382">
        <v>23</v>
      </c>
      <c r="F382">
        <v>0</v>
      </c>
      <c r="G382">
        <v>0</v>
      </c>
      <c r="H382" s="1">
        <f t="shared" si="11"/>
        <v>45792</v>
      </c>
      <c r="I382">
        <f t="shared" si="12"/>
        <v>20</v>
      </c>
    </row>
    <row r="383" spans="1:9" x14ac:dyDescent="0.2">
      <c r="A383">
        <v>20250516</v>
      </c>
      <c r="B383" t="s">
        <v>7</v>
      </c>
      <c r="C383" t="s">
        <v>8</v>
      </c>
      <c r="D383">
        <v>42</v>
      </c>
      <c r="E383">
        <v>74.428571428571402</v>
      </c>
      <c r="F383">
        <v>1</v>
      </c>
      <c r="G383">
        <v>2</v>
      </c>
      <c r="H383" s="1">
        <f t="shared" si="11"/>
        <v>45793</v>
      </c>
      <c r="I383">
        <f t="shared" si="12"/>
        <v>20</v>
      </c>
    </row>
    <row r="384" spans="1:9" x14ac:dyDescent="0.2">
      <c r="A384">
        <v>20250516</v>
      </c>
      <c r="B384" t="s">
        <v>9</v>
      </c>
      <c r="C384" t="s">
        <v>13</v>
      </c>
      <c r="D384">
        <v>5</v>
      </c>
      <c r="E384">
        <v>1</v>
      </c>
      <c r="F384">
        <v>0</v>
      </c>
      <c r="G384">
        <v>1</v>
      </c>
      <c r="H384" s="1">
        <f t="shared" si="11"/>
        <v>45793</v>
      </c>
      <c r="I384">
        <f t="shared" si="12"/>
        <v>20</v>
      </c>
    </row>
    <row r="385" spans="1:9" x14ac:dyDescent="0.2">
      <c r="A385">
        <v>20250516</v>
      </c>
      <c r="B385" t="s">
        <v>9</v>
      </c>
      <c r="C385" t="s">
        <v>8</v>
      </c>
      <c r="D385">
        <v>4</v>
      </c>
      <c r="E385">
        <v>42</v>
      </c>
      <c r="F385">
        <v>0</v>
      </c>
      <c r="G385">
        <v>0</v>
      </c>
      <c r="H385" s="1">
        <f t="shared" si="11"/>
        <v>45793</v>
      </c>
      <c r="I385">
        <f t="shared" si="12"/>
        <v>20</v>
      </c>
    </row>
    <row r="386" spans="1:9" x14ac:dyDescent="0.2">
      <c r="A386">
        <v>20250516</v>
      </c>
      <c r="B386" t="s">
        <v>10</v>
      </c>
      <c r="C386" t="s">
        <v>8</v>
      </c>
      <c r="D386">
        <v>3</v>
      </c>
      <c r="E386">
        <v>27.6666666666666</v>
      </c>
      <c r="F386">
        <v>0</v>
      </c>
      <c r="G386">
        <v>0</v>
      </c>
      <c r="H386" s="1">
        <f t="shared" ref="H386:H449" si="13">DATE(LEFT(A386,4),MID(A386,5,2),RIGHT(A386,2))</f>
        <v>45793</v>
      </c>
      <c r="I386">
        <f t="shared" ref="I386:I449" si="14">WEEKNUM(H386)</f>
        <v>20</v>
      </c>
    </row>
    <row r="387" spans="1:9" x14ac:dyDescent="0.2">
      <c r="A387">
        <v>20250516</v>
      </c>
      <c r="B387" t="s">
        <v>10</v>
      </c>
      <c r="C387" t="s">
        <v>13</v>
      </c>
      <c r="D387">
        <v>1</v>
      </c>
      <c r="E387">
        <v>1</v>
      </c>
      <c r="F387">
        <v>0</v>
      </c>
      <c r="G387">
        <v>0</v>
      </c>
      <c r="H387" s="1">
        <f t="shared" si="13"/>
        <v>45793</v>
      </c>
      <c r="I387">
        <f t="shared" si="14"/>
        <v>20</v>
      </c>
    </row>
    <row r="388" spans="1:9" x14ac:dyDescent="0.2">
      <c r="A388">
        <v>20250516</v>
      </c>
      <c r="B388" t="s">
        <v>10</v>
      </c>
      <c r="C388" t="s">
        <v>31</v>
      </c>
      <c r="D388">
        <v>1</v>
      </c>
      <c r="E388">
        <v>72</v>
      </c>
      <c r="F388">
        <v>0</v>
      </c>
      <c r="G388">
        <v>0</v>
      </c>
      <c r="H388" s="1">
        <f t="shared" si="13"/>
        <v>45793</v>
      </c>
      <c r="I388">
        <f t="shared" si="14"/>
        <v>20</v>
      </c>
    </row>
    <row r="389" spans="1:9" x14ac:dyDescent="0.2">
      <c r="A389">
        <v>20250517</v>
      </c>
      <c r="B389" t="s">
        <v>19</v>
      </c>
      <c r="C389" t="s">
        <v>8</v>
      </c>
      <c r="D389">
        <v>1</v>
      </c>
      <c r="E389">
        <v>87</v>
      </c>
      <c r="F389">
        <v>0</v>
      </c>
      <c r="G389">
        <v>0</v>
      </c>
      <c r="H389" s="1">
        <f t="shared" si="13"/>
        <v>45794</v>
      </c>
      <c r="I389">
        <f t="shared" si="14"/>
        <v>20</v>
      </c>
    </row>
    <row r="390" spans="1:9" x14ac:dyDescent="0.2">
      <c r="A390">
        <v>20250517</v>
      </c>
      <c r="B390" t="s">
        <v>16</v>
      </c>
      <c r="C390" t="s">
        <v>8</v>
      </c>
      <c r="D390">
        <v>1</v>
      </c>
      <c r="E390">
        <v>30</v>
      </c>
      <c r="F390">
        <v>0</v>
      </c>
      <c r="G390">
        <v>0</v>
      </c>
      <c r="H390" s="1">
        <f t="shared" si="13"/>
        <v>45794</v>
      </c>
      <c r="I390">
        <f t="shared" si="14"/>
        <v>20</v>
      </c>
    </row>
    <row r="391" spans="1:9" x14ac:dyDescent="0.2">
      <c r="A391">
        <v>20250517</v>
      </c>
      <c r="B391" t="s">
        <v>7</v>
      </c>
      <c r="C391" t="s">
        <v>8</v>
      </c>
      <c r="D391">
        <v>47</v>
      </c>
      <c r="E391">
        <v>55.170212765957402</v>
      </c>
      <c r="F391">
        <v>0</v>
      </c>
      <c r="G391">
        <v>0</v>
      </c>
      <c r="H391" s="1">
        <f t="shared" si="13"/>
        <v>45794</v>
      </c>
      <c r="I391">
        <f t="shared" si="14"/>
        <v>20</v>
      </c>
    </row>
    <row r="392" spans="1:9" x14ac:dyDescent="0.2">
      <c r="A392">
        <v>20250517</v>
      </c>
      <c r="B392" t="s">
        <v>9</v>
      </c>
      <c r="C392" t="s">
        <v>8</v>
      </c>
      <c r="D392">
        <v>9</v>
      </c>
      <c r="E392">
        <v>42.5555555555555</v>
      </c>
      <c r="F392">
        <v>0</v>
      </c>
      <c r="G392">
        <v>0</v>
      </c>
      <c r="H392" s="1">
        <f t="shared" si="13"/>
        <v>45794</v>
      </c>
      <c r="I392">
        <f t="shared" si="14"/>
        <v>20</v>
      </c>
    </row>
    <row r="393" spans="1:9" x14ac:dyDescent="0.2">
      <c r="A393">
        <v>20250517</v>
      </c>
      <c r="B393" t="s">
        <v>9</v>
      </c>
      <c r="C393" t="s">
        <v>13</v>
      </c>
      <c r="D393">
        <v>1</v>
      </c>
      <c r="E393">
        <v>84</v>
      </c>
      <c r="F393">
        <v>0</v>
      </c>
      <c r="G393">
        <v>0</v>
      </c>
      <c r="H393" s="1">
        <f t="shared" si="13"/>
        <v>45794</v>
      </c>
      <c r="I393">
        <f t="shared" si="14"/>
        <v>20</v>
      </c>
    </row>
    <row r="394" spans="1:9" x14ac:dyDescent="0.2">
      <c r="A394">
        <v>20250517</v>
      </c>
      <c r="B394" t="s">
        <v>10</v>
      </c>
      <c r="C394" t="s">
        <v>8</v>
      </c>
      <c r="D394">
        <v>11</v>
      </c>
      <c r="E394">
        <v>29.272727272727199</v>
      </c>
      <c r="F394">
        <v>0</v>
      </c>
      <c r="G394">
        <v>0</v>
      </c>
      <c r="H394" s="1">
        <f t="shared" si="13"/>
        <v>45794</v>
      </c>
      <c r="I394">
        <f t="shared" si="14"/>
        <v>20</v>
      </c>
    </row>
    <row r="395" spans="1:9" x14ac:dyDescent="0.2">
      <c r="A395">
        <v>20250518</v>
      </c>
      <c r="B395" t="s">
        <v>16</v>
      </c>
      <c r="C395" t="s">
        <v>8</v>
      </c>
      <c r="D395">
        <v>1</v>
      </c>
      <c r="E395">
        <v>29</v>
      </c>
      <c r="F395">
        <v>0</v>
      </c>
      <c r="G395">
        <v>0</v>
      </c>
      <c r="H395" s="1">
        <f t="shared" si="13"/>
        <v>45795</v>
      </c>
      <c r="I395">
        <f t="shared" si="14"/>
        <v>21</v>
      </c>
    </row>
    <row r="396" spans="1:9" x14ac:dyDescent="0.2">
      <c r="A396">
        <v>20250518</v>
      </c>
      <c r="B396" t="s">
        <v>7</v>
      </c>
      <c r="C396" t="s">
        <v>8</v>
      </c>
      <c r="D396">
        <v>162</v>
      </c>
      <c r="E396">
        <v>47.0061728395061</v>
      </c>
      <c r="F396">
        <v>0</v>
      </c>
      <c r="G396">
        <v>4</v>
      </c>
      <c r="H396" s="1">
        <f t="shared" si="13"/>
        <v>45795</v>
      </c>
      <c r="I396">
        <f t="shared" si="14"/>
        <v>21</v>
      </c>
    </row>
    <row r="397" spans="1:9" x14ac:dyDescent="0.2">
      <c r="A397">
        <v>20250518</v>
      </c>
      <c r="B397" t="s">
        <v>9</v>
      </c>
      <c r="C397" t="s">
        <v>8</v>
      </c>
      <c r="D397">
        <v>6</v>
      </c>
      <c r="E397">
        <v>39.5</v>
      </c>
      <c r="F397">
        <v>0</v>
      </c>
      <c r="G397">
        <v>0</v>
      </c>
      <c r="H397" s="1">
        <f t="shared" si="13"/>
        <v>45795</v>
      </c>
      <c r="I397">
        <f t="shared" si="14"/>
        <v>21</v>
      </c>
    </row>
    <row r="398" spans="1:9" x14ac:dyDescent="0.2">
      <c r="A398">
        <v>20250518</v>
      </c>
      <c r="B398" t="s">
        <v>10</v>
      </c>
      <c r="C398" t="s">
        <v>8</v>
      </c>
      <c r="D398">
        <v>9</v>
      </c>
      <c r="E398">
        <v>33.7777777777777</v>
      </c>
      <c r="F398">
        <v>0</v>
      </c>
      <c r="G398">
        <v>0</v>
      </c>
      <c r="H398" s="1">
        <f t="shared" si="13"/>
        <v>45795</v>
      </c>
      <c r="I398">
        <f t="shared" si="14"/>
        <v>21</v>
      </c>
    </row>
    <row r="399" spans="1:9" x14ac:dyDescent="0.2">
      <c r="A399">
        <v>20250519</v>
      </c>
      <c r="B399" t="s">
        <v>7</v>
      </c>
      <c r="C399" t="s">
        <v>8</v>
      </c>
      <c r="D399">
        <v>147</v>
      </c>
      <c r="E399">
        <v>48.408163265306101</v>
      </c>
      <c r="F399">
        <v>0</v>
      </c>
      <c r="G399">
        <v>1</v>
      </c>
      <c r="H399" s="1">
        <f t="shared" si="13"/>
        <v>45796</v>
      </c>
      <c r="I399">
        <f t="shared" si="14"/>
        <v>21</v>
      </c>
    </row>
    <row r="400" spans="1:9" x14ac:dyDescent="0.2">
      <c r="A400">
        <v>20250519</v>
      </c>
      <c r="B400" t="s">
        <v>14</v>
      </c>
      <c r="C400" t="s">
        <v>8</v>
      </c>
      <c r="D400">
        <v>1</v>
      </c>
      <c r="E400">
        <v>24</v>
      </c>
      <c r="F400">
        <v>0</v>
      </c>
      <c r="G400">
        <v>0</v>
      </c>
      <c r="H400" s="1">
        <f t="shared" si="13"/>
        <v>45796</v>
      </c>
      <c r="I400">
        <f t="shared" si="14"/>
        <v>21</v>
      </c>
    </row>
    <row r="401" spans="1:9" x14ac:dyDescent="0.2">
      <c r="A401">
        <v>20250519</v>
      </c>
      <c r="B401" t="s">
        <v>9</v>
      </c>
      <c r="C401" t="s">
        <v>8</v>
      </c>
      <c r="D401">
        <v>2</v>
      </c>
      <c r="E401">
        <v>44</v>
      </c>
      <c r="F401">
        <v>0</v>
      </c>
      <c r="G401">
        <v>0</v>
      </c>
      <c r="H401" s="1">
        <f t="shared" si="13"/>
        <v>45796</v>
      </c>
      <c r="I401">
        <f t="shared" si="14"/>
        <v>21</v>
      </c>
    </row>
    <row r="402" spans="1:9" x14ac:dyDescent="0.2">
      <c r="A402">
        <v>20250519</v>
      </c>
      <c r="B402" t="s">
        <v>10</v>
      </c>
      <c r="C402" t="s">
        <v>8</v>
      </c>
      <c r="D402">
        <v>1</v>
      </c>
      <c r="E402">
        <v>96</v>
      </c>
      <c r="F402">
        <v>0</v>
      </c>
      <c r="G402">
        <v>0</v>
      </c>
      <c r="H402" s="1">
        <f t="shared" si="13"/>
        <v>45796</v>
      </c>
      <c r="I402">
        <f t="shared" si="14"/>
        <v>21</v>
      </c>
    </row>
    <row r="403" spans="1:9" x14ac:dyDescent="0.2">
      <c r="A403">
        <v>20250519</v>
      </c>
      <c r="B403" t="s">
        <v>10</v>
      </c>
      <c r="C403" t="s">
        <v>26</v>
      </c>
      <c r="D403">
        <v>1</v>
      </c>
      <c r="E403">
        <v>93</v>
      </c>
      <c r="F403">
        <v>0</v>
      </c>
      <c r="G403">
        <v>0</v>
      </c>
      <c r="H403" s="1">
        <f t="shared" si="13"/>
        <v>45796</v>
      </c>
      <c r="I403">
        <f t="shared" si="14"/>
        <v>21</v>
      </c>
    </row>
    <row r="404" spans="1:9" x14ac:dyDescent="0.2">
      <c r="A404">
        <v>20250520</v>
      </c>
      <c r="B404" t="s">
        <v>12</v>
      </c>
      <c r="C404" t="s">
        <v>8</v>
      </c>
      <c r="D404">
        <v>2</v>
      </c>
      <c r="E404">
        <v>23.5</v>
      </c>
      <c r="F404">
        <v>0</v>
      </c>
      <c r="G404">
        <v>0</v>
      </c>
      <c r="H404" s="1">
        <f t="shared" si="13"/>
        <v>45797</v>
      </c>
      <c r="I404">
        <f t="shared" si="14"/>
        <v>21</v>
      </c>
    </row>
    <row r="405" spans="1:9" x14ac:dyDescent="0.2">
      <c r="A405">
        <v>20250520</v>
      </c>
      <c r="B405" t="s">
        <v>7</v>
      </c>
      <c r="C405" t="s">
        <v>8</v>
      </c>
      <c r="D405">
        <v>89</v>
      </c>
      <c r="E405">
        <v>57.213483146067396</v>
      </c>
      <c r="F405">
        <v>0</v>
      </c>
      <c r="G405">
        <v>0</v>
      </c>
      <c r="H405" s="1">
        <f t="shared" si="13"/>
        <v>45797</v>
      </c>
      <c r="I405">
        <f t="shared" si="14"/>
        <v>21</v>
      </c>
    </row>
    <row r="406" spans="1:9" x14ac:dyDescent="0.2">
      <c r="A406">
        <v>20250520</v>
      </c>
      <c r="B406" t="s">
        <v>9</v>
      </c>
      <c r="C406" t="s">
        <v>8</v>
      </c>
      <c r="D406">
        <v>2</v>
      </c>
      <c r="E406">
        <v>48</v>
      </c>
      <c r="F406">
        <v>0</v>
      </c>
      <c r="G406">
        <v>0</v>
      </c>
      <c r="H406" s="1">
        <f t="shared" si="13"/>
        <v>45797</v>
      </c>
      <c r="I406">
        <f t="shared" si="14"/>
        <v>21</v>
      </c>
    </row>
    <row r="407" spans="1:9" x14ac:dyDescent="0.2">
      <c r="A407">
        <v>20250520</v>
      </c>
      <c r="B407" t="s">
        <v>10</v>
      </c>
      <c r="C407" t="s">
        <v>8</v>
      </c>
      <c r="D407">
        <v>3</v>
      </c>
      <c r="E407">
        <v>27.6666666666666</v>
      </c>
      <c r="F407">
        <v>0</v>
      </c>
      <c r="G407">
        <v>0</v>
      </c>
      <c r="H407" s="1">
        <f t="shared" si="13"/>
        <v>45797</v>
      </c>
      <c r="I407">
        <f t="shared" si="14"/>
        <v>21</v>
      </c>
    </row>
    <row r="408" spans="1:9" x14ac:dyDescent="0.2">
      <c r="A408">
        <v>20250521</v>
      </c>
      <c r="B408" t="s">
        <v>7</v>
      </c>
      <c r="C408" t="s">
        <v>8</v>
      </c>
      <c r="D408">
        <v>57</v>
      </c>
      <c r="E408">
        <v>49.684210526315702</v>
      </c>
      <c r="F408">
        <v>0</v>
      </c>
      <c r="G408">
        <v>0</v>
      </c>
      <c r="H408" s="1">
        <f t="shared" si="13"/>
        <v>45798</v>
      </c>
      <c r="I408">
        <f t="shared" si="14"/>
        <v>21</v>
      </c>
    </row>
    <row r="409" spans="1:9" x14ac:dyDescent="0.2">
      <c r="A409">
        <v>20250521</v>
      </c>
      <c r="B409" t="s">
        <v>9</v>
      </c>
      <c r="C409" t="s">
        <v>8</v>
      </c>
      <c r="D409">
        <v>7</v>
      </c>
      <c r="E409">
        <v>23.714285714285701</v>
      </c>
      <c r="F409">
        <v>0</v>
      </c>
      <c r="G409">
        <v>0</v>
      </c>
      <c r="H409" s="1">
        <f t="shared" si="13"/>
        <v>45798</v>
      </c>
      <c r="I409">
        <f t="shared" si="14"/>
        <v>21</v>
      </c>
    </row>
    <row r="410" spans="1:9" x14ac:dyDescent="0.2">
      <c r="A410">
        <v>20250521</v>
      </c>
      <c r="B410" t="s">
        <v>9</v>
      </c>
      <c r="C410" t="s">
        <v>13</v>
      </c>
      <c r="D410">
        <v>2</v>
      </c>
      <c r="E410">
        <v>1</v>
      </c>
      <c r="F410">
        <v>0</v>
      </c>
      <c r="G410">
        <v>0</v>
      </c>
      <c r="H410" s="1">
        <f t="shared" si="13"/>
        <v>45798</v>
      </c>
      <c r="I410">
        <f t="shared" si="14"/>
        <v>21</v>
      </c>
    </row>
    <row r="411" spans="1:9" x14ac:dyDescent="0.2">
      <c r="A411">
        <v>20250522</v>
      </c>
      <c r="B411" t="s">
        <v>12</v>
      </c>
      <c r="C411" t="s">
        <v>17</v>
      </c>
      <c r="D411">
        <v>1</v>
      </c>
      <c r="E411">
        <v>25</v>
      </c>
      <c r="F411">
        <v>0</v>
      </c>
      <c r="G411">
        <v>0</v>
      </c>
      <c r="H411" s="1">
        <f t="shared" si="13"/>
        <v>45799</v>
      </c>
      <c r="I411">
        <f t="shared" si="14"/>
        <v>21</v>
      </c>
    </row>
    <row r="412" spans="1:9" x14ac:dyDescent="0.2">
      <c r="A412">
        <v>20250522</v>
      </c>
      <c r="B412" t="s">
        <v>29</v>
      </c>
      <c r="C412" t="s">
        <v>8</v>
      </c>
      <c r="D412">
        <v>1</v>
      </c>
      <c r="E412">
        <v>36</v>
      </c>
      <c r="F412">
        <v>0</v>
      </c>
      <c r="G412">
        <v>0</v>
      </c>
      <c r="H412" s="1">
        <f t="shared" si="13"/>
        <v>45799</v>
      </c>
      <c r="I412">
        <f t="shared" si="14"/>
        <v>21</v>
      </c>
    </row>
    <row r="413" spans="1:9" x14ac:dyDescent="0.2">
      <c r="A413">
        <v>20250522</v>
      </c>
      <c r="B413" t="s">
        <v>7</v>
      </c>
      <c r="C413" t="s">
        <v>8</v>
      </c>
      <c r="D413">
        <v>3</v>
      </c>
      <c r="E413">
        <v>32.6666666666666</v>
      </c>
      <c r="F413">
        <v>0</v>
      </c>
      <c r="G413">
        <v>0</v>
      </c>
      <c r="H413" s="1">
        <f t="shared" si="13"/>
        <v>45799</v>
      </c>
      <c r="I413">
        <f t="shared" si="14"/>
        <v>21</v>
      </c>
    </row>
    <row r="414" spans="1:9" x14ac:dyDescent="0.2">
      <c r="A414">
        <v>20250522</v>
      </c>
      <c r="B414" t="s">
        <v>7</v>
      </c>
      <c r="C414" t="s">
        <v>17</v>
      </c>
      <c r="D414">
        <v>1</v>
      </c>
      <c r="E414">
        <v>1</v>
      </c>
      <c r="F414">
        <v>0</v>
      </c>
      <c r="G414">
        <v>0</v>
      </c>
      <c r="H414" s="1">
        <f t="shared" si="13"/>
        <v>45799</v>
      </c>
      <c r="I414">
        <f t="shared" si="14"/>
        <v>21</v>
      </c>
    </row>
    <row r="415" spans="1:9" x14ac:dyDescent="0.2">
      <c r="A415">
        <v>20250522</v>
      </c>
      <c r="B415" t="s">
        <v>10</v>
      </c>
      <c r="C415" t="s">
        <v>8</v>
      </c>
      <c r="D415">
        <v>4</v>
      </c>
      <c r="E415">
        <v>22</v>
      </c>
      <c r="F415">
        <v>0</v>
      </c>
      <c r="G415">
        <v>0</v>
      </c>
      <c r="H415" s="1">
        <f t="shared" si="13"/>
        <v>45799</v>
      </c>
      <c r="I415">
        <f t="shared" si="14"/>
        <v>21</v>
      </c>
    </row>
    <row r="416" spans="1:9" x14ac:dyDescent="0.2">
      <c r="A416">
        <v>20250523</v>
      </c>
      <c r="B416" t="s">
        <v>16</v>
      </c>
      <c r="C416" t="s">
        <v>8</v>
      </c>
      <c r="D416">
        <v>1</v>
      </c>
      <c r="E416">
        <v>9</v>
      </c>
      <c r="F416">
        <v>0</v>
      </c>
      <c r="G416">
        <v>0</v>
      </c>
      <c r="H416" s="1">
        <f t="shared" si="13"/>
        <v>45800</v>
      </c>
      <c r="I416">
        <f t="shared" si="14"/>
        <v>21</v>
      </c>
    </row>
    <row r="417" spans="1:9" x14ac:dyDescent="0.2">
      <c r="A417">
        <v>20250523</v>
      </c>
      <c r="B417" t="s">
        <v>16</v>
      </c>
      <c r="C417" t="s">
        <v>28</v>
      </c>
      <c r="D417">
        <v>1</v>
      </c>
      <c r="E417">
        <v>34</v>
      </c>
      <c r="F417">
        <v>0</v>
      </c>
      <c r="G417">
        <v>0</v>
      </c>
      <c r="H417" s="1">
        <f t="shared" si="13"/>
        <v>45800</v>
      </c>
      <c r="I417">
        <f t="shared" si="14"/>
        <v>21</v>
      </c>
    </row>
    <row r="418" spans="1:9" x14ac:dyDescent="0.2">
      <c r="A418">
        <v>20250523</v>
      </c>
      <c r="B418" t="s">
        <v>7</v>
      </c>
      <c r="C418" t="s">
        <v>8</v>
      </c>
      <c r="D418">
        <v>8</v>
      </c>
      <c r="E418">
        <v>10.375</v>
      </c>
      <c r="F418">
        <v>0</v>
      </c>
      <c r="G418">
        <v>2</v>
      </c>
      <c r="H418" s="1">
        <f t="shared" si="13"/>
        <v>45800</v>
      </c>
      <c r="I418">
        <f t="shared" si="14"/>
        <v>21</v>
      </c>
    </row>
    <row r="419" spans="1:9" x14ac:dyDescent="0.2">
      <c r="A419">
        <v>20250523</v>
      </c>
      <c r="B419" t="s">
        <v>14</v>
      </c>
      <c r="C419" t="s">
        <v>8</v>
      </c>
      <c r="D419">
        <v>1</v>
      </c>
      <c r="E419">
        <v>22</v>
      </c>
      <c r="F419">
        <v>0</v>
      </c>
      <c r="G419">
        <v>0</v>
      </c>
      <c r="H419" s="1">
        <f t="shared" si="13"/>
        <v>45800</v>
      </c>
      <c r="I419">
        <f t="shared" si="14"/>
        <v>21</v>
      </c>
    </row>
    <row r="420" spans="1:9" x14ac:dyDescent="0.2">
      <c r="A420">
        <v>20250523</v>
      </c>
      <c r="B420" t="s">
        <v>9</v>
      </c>
      <c r="C420" t="s">
        <v>15</v>
      </c>
      <c r="D420">
        <v>1</v>
      </c>
      <c r="E420">
        <v>1</v>
      </c>
      <c r="F420">
        <v>0</v>
      </c>
      <c r="G420">
        <v>0</v>
      </c>
      <c r="H420" s="1">
        <f t="shared" si="13"/>
        <v>45800</v>
      </c>
      <c r="I420">
        <f t="shared" si="14"/>
        <v>21</v>
      </c>
    </row>
    <row r="421" spans="1:9" x14ac:dyDescent="0.2">
      <c r="A421">
        <v>20250523</v>
      </c>
      <c r="B421" t="s">
        <v>9</v>
      </c>
      <c r="C421" t="s">
        <v>8</v>
      </c>
      <c r="D421">
        <v>1</v>
      </c>
      <c r="E421">
        <v>40</v>
      </c>
      <c r="F421">
        <v>0</v>
      </c>
      <c r="G421">
        <v>0</v>
      </c>
      <c r="H421" s="1">
        <f t="shared" si="13"/>
        <v>45800</v>
      </c>
      <c r="I421">
        <f t="shared" si="14"/>
        <v>21</v>
      </c>
    </row>
    <row r="422" spans="1:9" x14ac:dyDescent="0.2">
      <c r="A422">
        <v>20250523</v>
      </c>
      <c r="B422" t="s">
        <v>10</v>
      </c>
      <c r="C422" t="s">
        <v>8</v>
      </c>
      <c r="D422">
        <v>3</v>
      </c>
      <c r="E422">
        <v>32.3333333333333</v>
      </c>
      <c r="F422">
        <v>0</v>
      </c>
      <c r="G422">
        <v>0</v>
      </c>
      <c r="H422" s="1">
        <f t="shared" si="13"/>
        <v>45800</v>
      </c>
      <c r="I422">
        <f t="shared" si="14"/>
        <v>21</v>
      </c>
    </row>
    <row r="423" spans="1:9" x14ac:dyDescent="0.2">
      <c r="A423">
        <v>20250524</v>
      </c>
      <c r="B423" t="s">
        <v>29</v>
      </c>
      <c r="C423" t="s">
        <v>8</v>
      </c>
      <c r="D423">
        <v>1</v>
      </c>
      <c r="E423">
        <v>36</v>
      </c>
      <c r="F423">
        <v>0</v>
      </c>
      <c r="G423">
        <v>0</v>
      </c>
      <c r="H423" s="1">
        <f t="shared" si="13"/>
        <v>45801</v>
      </c>
      <c r="I423">
        <f t="shared" si="14"/>
        <v>21</v>
      </c>
    </row>
    <row r="424" spans="1:9" x14ac:dyDescent="0.2">
      <c r="A424">
        <v>20250524</v>
      </c>
      <c r="B424" t="s">
        <v>7</v>
      </c>
      <c r="C424" t="s">
        <v>8</v>
      </c>
      <c r="D424">
        <v>16</v>
      </c>
      <c r="E424">
        <v>11.9375</v>
      </c>
      <c r="F424">
        <v>0</v>
      </c>
      <c r="G424">
        <v>0</v>
      </c>
      <c r="H424" s="1">
        <f t="shared" si="13"/>
        <v>45801</v>
      </c>
      <c r="I424">
        <f t="shared" si="14"/>
        <v>21</v>
      </c>
    </row>
    <row r="425" spans="1:9" x14ac:dyDescent="0.2">
      <c r="A425">
        <v>20250524</v>
      </c>
      <c r="B425" t="s">
        <v>9</v>
      </c>
      <c r="C425" t="s">
        <v>15</v>
      </c>
      <c r="D425">
        <v>6</v>
      </c>
      <c r="E425">
        <v>1</v>
      </c>
      <c r="F425">
        <v>0</v>
      </c>
      <c r="G425">
        <v>0</v>
      </c>
      <c r="H425" s="1">
        <f t="shared" si="13"/>
        <v>45801</v>
      </c>
      <c r="I425">
        <f t="shared" si="14"/>
        <v>21</v>
      </c>
    </row>
    <row r="426" spans="1:9" x14ac:dyDescent="0.2">
      <c r="A426">
        <v>20250524</v>
      </c>
      <c r="B426" t="s">
        <v>9</v>
      </c>
      <c r="C426" t="s">
        <v>8</v>
      </c>
      <c r="D426">
        <v>1</v>
      </c>
      <c r="E426">
        <v>27</v>
      </c>
      <c r="F426">
        <v>0</v>
      </c>
      <c r="G426">
        <v>0</v>
      </c>
      <c r="H426" s="1">
        <f t="shared" si="13"/>
        <v>45801</v>
      </c>
      <c r="I426">
        <f t="shared" si="14"/>
        <v>21</v>
      </c>
    </row>
    <row r="427" spans="1:9" x14ac:dyDescent="0.2">
      <c r="A427">
        <v>20250524</v>
      </c>
      <c r="B427" t="s">
        <v>10</v>
      </c>
      <c r="C427" t="s">
        <v>8</v>
      </c>
      <c r="D427">
        <v>3</v>
      </c>
      <c r="E427">
        <v>32.6666666666666</v>
      </c>
      <c r="F427">
        <v>0</v>
      </c>
      <c r="G427">
        <v>0</v>
      </c>
      <c r="H427" s="1">
        <f t="shared" si="13"/>
        <v>45801</v>
      </c>
      <c r="I427">
        <f t="shared" si="14"/>
        <v>21</v>
      </c>
    </row>
    <row r="428" spans="1:9" x14ac:dyDescent="0.2">
      <c r="A428">
        <v>20250525</v>
      </c>
      <c r="B428" t="s">
        <v>12</v>
      </c>
      <c r="C428" t="s">
        <v>8</v>
      </c>
      <c r="D428">
        <v>1</v>
      </c>
      <c r="E428">
        <v>1</v>
      </c>
      <c r="F428">
        <v>1</v>
      </c>
      <c r="G428">
        <v>1</v>
      </c>
      <c r="H428" s="1">
        <f t="shared" si="13"/>
        <v>45802</v>
      </c>
      <c r="I428">
        <f t="shared" si="14"/>
        <v>22</v>
      </c>
    </row>
    <row r="429" spans="1:9" x14ac:dyDescent="0.2">
      <c r="A429">
        <v>20250525</v>
      </c>
      <c r="B429" t="s">
        <v>7</v>
      </c>
      <c r="C429" t="s">
        <v>8</v>
      </c>
      <c r="D429">
        <v>9</v>
      </c>
      <c r="E429">
        <v>8.8888888888888893</v>
      </c>
      <c r="F429">
        <v>0</v>
      </c>
      <c r="G429">
        <v>0</v>
      </c>
      <c r="H429" s="1">
        <f t="shared" si="13"/>
        <v>45802</v>
      </c>
      <c r="I429">
        <f t="shared" si="14"/>
        <v>22</v>
      </c>
    </row>
    <row r="430" spans="1:9" x14ac:dyDescent="0.2">
      <c r="A430">
        <v>20250525</v>
      </c>
      <c r="B430" t="s">
        <v>9</v>
      </c>
      <c r="C430" t="s">
        <v>13</v>
      </c>
      <c r="D430">
        <v>7</v>
      </c>
      <c r="E430">
        <v>2</v>
      </c>
      <c r="F430">
        <v>0</v>
      </c>
      <c r="G430">
        <v>0</v>
      </c>
      <c r="H430" s="1">
        <f t="shared" si="13"/>
        <v>45802</v>
      </c>
      <c r="I430">
        <f t="shared" si="14"/>
        <v>22</v>
      </c>
    </row>
    <row r="431" spans="1:9" x14ac:dyDescent="0.2">
      <c r="A431">
        <v>20250525</v>
      </c>
      <c r="B431" t="s">
        <v>9</v>
      </c>
      <c r="C431" t="s">
        <v>8</v>
      </c>
      <c r="D431">
        <v>2</v>
      </c>
      <c r="E431">
        <v>19</v>
      </c>
      <c r="F431">
        <v>0</v>
      </c>
      <c r="G431">
        <v>0</v>
      </c>
      <c r="H431" s="1">
        <f t="shared" si="13"/>
        <v>45802</v>
      </c>
      <c r="I431">
        <f t="shared" si="14"/>
        <v>22</v>
      </c>
    </row>
    <row r="432" spans="1:9" x14ac:dyDescent="0.2">
      <c r="A432">
        <v>20250525</v>
      </c>
      <c r="B432" t="s">
        <v>10</v>
      </c>
      <c r="C432" t="s">
        <v>18</v>
      </c>
      <c r="D432">
        <v>3</v>
      </c>
      <c r="E432">
        <v>1</v>
      </c>
      <c r="F432">
        <v>0</v>
      </c>
      <c r="G432">
        <v>0</v>
      </c>
      <c r="H432" s="1">
        <f t="shared" si="13"/>
        <v>45802</v>
      </c>
      <c r="I432">
        <f t="shared" si="14"/>
        <v>22</v>
      </c>
    </row>
    <row r="433" spans="1:9" x14ac:dyDescent="0.2">
      <c r="A433">
        <v>20250525</v>
      </c>
      <c r="B433" t="s">
        <v>10</v>
      </c>
      <c r="C433" t="s">
        <v>8</v>
      </c>
      <c r="D433">
        <v>1</v>
      </c>
      <c r="E433">
        <v>40</v>
      </c>
      <c r="F433">
        <v>0</v>
      </c>
      <c r="G433">
        <v>0</v>
      </c>
      <c r="H433" s="1">
        <f t="shared" si="13"/>
        <v>45802</v>
      </c>
      <c r="I433">
        <f t="shared" si="14"/>
        <v>22</v>
      </c>
    </row>
    <row r="434" spans="1:9" x14ac:dyDescent="0.2">
      <c r="A434">
        <v>20250526</v>
      </c>
      <c r="B434" t="s">
        <v>16</v>
      </c>
      <c r="C434" t="s">
        <v>8</v>
      </c>
      <c r="D434">
        <v>3</v>
      </c>
      <c r="E434">
        <v>8</v>
      </c>
      <c r="F434">
        <v>0</v>
      </c>
      <c r="G434">
        <v>0</v>
      </c>
      <c r="H434" s="1">
        <f t="shared" si="13"/>
        <v>45803</v>
      </c>
      <c r="I434">
        <f t="shared" si="14"/>
        <v>22</v>
      </c>
    </row>
    <row r="435" spans="1:9" x14ac:dyDescent="0.2">
      <c r="A435">
        <v>20250526</v>
      </c>
      <c r="B435" t="s">
        <v>7</v>
      </c>
      <c r="C435" t="s">
        <v>8</v>
      </c>
      <c r="D435">
        <v>20</v>
      </c>
      <c r="E435">
        <v>9.5</v>
      </c>
      <c r="F435">
        <v>0</v>
      </c>
      <c r="G435">
        <v>0</v>
      </c>
      <c r="H435" s="1">
        <f t="shared" si="13"/>
        <v>45803</v>
      </c>
      <c r="I435">
        <f t="shared" si="14"/>
        <v>22</v>
      </c>
    </row>
    <row r="436" spans="1:9" x14ac:dyDescent="0.2">
      <c r="A436">
        <v>20250526</v>
      </c>
      <c r="B436" t="s">
        <v>9</v>
      </c>
      <c r="C436" t="s">
        <v>13</v>
      </c>
      <c r="D436">
        <v>7</v>
      </c>
      <c r="E436">
        <v>1</v>
      </c>
      <c r="F436">
        <v>0</v>
      </c>
      <c r="G436">
        <v>0</v>
      </c>
      <c r="H436" s="1">
        <f t="shared" si="13"/>
        <v>45803</v>
      </c>
      <c r="I436">
        <f t="shared" si="14"/>
        <v>22</v>
      </c>
    </row>
    <row r="437" spans="1:9" x14ac:dyDescent="0.2">
      <c r="A437">
        <v>20250526</v>
      </c>
      <c r="B437" t="s">
        <v>9</v>
      </c>
      <c r="C437" t="s">
        <v>8</v>
      </c>
      <c r="D437">
        <v>1</v>
      </c>
      <c r="E437">
        <v>40</v>
      </c>
      <c r="F437">
        <v>0</v>
      </c>
      <c r="G437">
        <v>0</v>
      </c>
      <c r="H437" s="1">
        <f t="shared" si="13"/>
        <v>45803</v>
      </c>
      <c r="I437">
        <f t="shared" si="14"/>
        <v>22</v>
      </c>
    </row>
    <row r="438" spans="1:9" x14ac:dyDescent="0.2">
      <c r="A438">
        <v>20250526</v>
      </c>
      <c r="B438" t="s">
        <v>10</v>
      </c>
      <c r="C438" t="s">
        <v>8</v>
      </c>
      <c r="D438">
        <v>1</v>
      </c>
      <c r="E438">
        <v>25</v>
      </c>
      <c r="F438">
        <v>0</v>
      </c>
      <c r="G438">
        <v>0</v>
      </c>
      <c r="H438" s="1">
        <f t="shared" si="13"/>
        <v>45803</v>
      </c>
      <c r="I438">
        <f t="shared" si="14"/>
        <v>22</v>
      </c>
    </row>
    <row r="439" spans="1:9" x14ac:dyDescent="0.2">
      <c r="A439">
        <v>20250527</v>
      </c>
      <c r="B439" t="s">
        <v>12</v>
      </c>
      <c r="C439" t="s">
        <v>8</v>
      </c>
      <c r="D439">
        <v>9</v>
      </c>
      <c r="E439">
        <v>44.6666666666666</v>
      </c>
      <c r="F439">
        <v>0</v>
      </c>
      <c r="G439">
        <v>0</v>
      </c>
      <c r="H439" s="1">
        <f t="shared" si="13"/>
        <v>45804</v>
      </c>
      <c r="I439">
        <f t="shared" si="14"/>
        <v>22</v>
      </c>
    </row>
    <row r="440" spans="1:9" x14ac:dyDescent="0.2">
      <c r="A440">
        <v>20250527</v>
      </c>
      <c r="B440" t="s">
        <v>7</v>
      </c>
      <c r="C440" t="s">
        <v>8</v>
      </c>
      <c r="D440">
        <v>22</v>
      </c>
      <c r="E440">
        <v>9.1818181818181799</v>
      </c>
      <c r="F440">
        <v>0</v>
      </c>
      <c r="G440">
        <v>0</v>
      </c>
      <c r="H440" s="1">
        <f t="shared" si="13"/>
        <v>45804</v>
      </c>
      <c r="I440">
        <f t="shared" si="14"/>
        <v>22</v>
      </c>
    </row>
    <row r="441" spans="1:9" x14ac:dyDescent="0.2">
      <c r="A441">
        <v>20250527</v>
      </c>
      <c r="B441" t="s">
        <v>14</v>
      </c>
      <c r="C441" t="s">
        <v>8</v>
      </c>
      <c r="D441">
        <v>7</v>
      </c>
      <c r="E441">
        <v>1</v>
      </c>
      <c r="F441">
        <v>0</v>
      </c>
      <c r="G441">
        <v>0</v>
      </c>
      <c r="H441" s="1">
        <f t="shared" si="13"/>
        <v>45804</v>
      </c>
      <c r="I441">
        <f t="shared" si="14"/>
        <v>22</v>
      </c>
    </row>
    <row r="442" spans="1:9" x14ac:dyDescent="0.2">
      <c r="A442">
        <v>20250527</v>
      </c>
      <c r="B442" t="s">
        <v>9</v>
      </c>
      <c r="C442" t="s">
        <v>8</v>
      </c>
      <c r="D442">
        <v>1</v>
      </c>
      <c r="E442">
        <v>2</v>
      </c>
      <c r="F442">
        <v>1</v>
      </c>
      <c r="G442">
        <v>2</v>
      </c>
      <c r="H442" s="1">
        <f t="shared" si="13"/>
        <v>45804</v>
      </c>
      <c r="I442">
        <f t="shared" si="14"/>
        <v>22</v>
      </c>
    </row>
    <row r="443" spans="1:9" x14ac:dyDescent="0.2">
      <c r="A443">
        <v>20250527</v>
      </c>
      <c r="B443" t="s">
        <v>10</v>
      </c>
      <c r="C443" t="s">
        <v>8</v>
      </c>
      <c r="D443">
        <v>3</v>
      </c>
      <c r="E443">
        <v>12.6666666666666</v>
      </c>
      <c r="F443">
        <v>0</v>
      </c>
      <c r="G443">
        <v>0</v>
      </c>
      <c r="H443" s="1">
        <f t="shared" si="13"/>
        <v>45804</v>
      </c>
      <c r="I443">
        <f t="shared" si="14"/>
        <v>22</v>
      </c>
    </row>
    <row r="444" spans="1:9" x14ac:dyDescent="0.2">
      <c r="A444">
        <v>20250528</v>
      </c>
      <c r="B444" t="s">
        <v>12</v>
      </c>
      <c r="C444" t="s">
        <v>8</v>
      </c>
      <c r="D444">
        <v>1</v>
      </c>
      <c r="E444">
        <v>75</v>
      </c>
      <c r="F444">
        <v>0</v>
      </c>
      <c r="G444">
        <v>0</v>
      </c>
      <c r="H444" s="1">
        <f t="shared" si="13"/>
        <v>45805</v>
      </c>
      <c r="I444">
        <f t="shared" si="14"/>
        <v>22</v>
      </c>
    </row>
    <row r="445" spans="1:9" x14ac:dyDescent="0.2">
      <c r="A445">
        <v>20250528</v>
      </c>
      <c r="B445" t="s">
        <v>16</v>
      </c>
      <c r="C445" t="s">
        <v>8</v>
      </c>
      <c r="D445">
        <v>1</v>
      </c>
      <c r="E445">
        <v>36</v>
      </c>
      <c r="F445">
        <v>0</v>
      </c>
      <c r="G445">
        <v>0</v>
      </c>
      <c r="H445" s="1">
        <f t="shared" si="13"/>
        <v>45805</v>
      </c>
      <c r="I445">
        <f t="shared" si="14"/>
        <v>22</v>
      </c>
    </row>
    <row r="446" spans="1:9" x14ac:dyDescent="0.2">
      <c r="A446">
        <v>20250528</v>
      </c>
      <c r="B446" t="s">
        <v>7</v>
      </c>
      <c r="C446" t="s">
        <v>8</v>
      </c>
      <c r="D446">
        <v>10</v>
      </c>
      <c r="E446">
        <v>22.7</v>
      </c>
      <c r="F446">
        <v>0</v>
      </c>
      <c r="G446">
        <v>0</v>
      </c>
      <c r="H446" s="1">
        <f t="shared" si="13"/>
        <v>45805</v>
      </c>
      <c r="I446">
        <f t="shared" si="14"/>
        <v>22</v>
      </c>
    </row>
    <row r="447" spans="1:9" x14ac:dyDescent="0.2">
      <c r="A447">
        <v>20250528</v>
      </c>
      <c r="B447" t="s">
        <v>23</v>
      </c>
      <c r="C447" t="s">
        <v>13</v>
      </c>
      <c r="D447">
        <v>1</v>
      </c>
      <c r="E447">
        <v>1</v>
      </c>
      <c r="F447">
        <v>0</v>
      </c>
      <c r="G447">
        <v>0</v>
      </c>
      <c r="H447" s="1">
        <f t="shared" si="13"/>
        <v>45805</v>
      </c>
      <c r="I447">
        <f t="shared" si="14"/>
        <v>22</v>
      </c>
    </row>
    <row r="448" spans="1:9" x14ac:dyDescent="0.2">
      <c r="A448">
        <v>20250528</v>
      </c>
      <c r="B448" t="s">
        <v>9</v>
      </c>
      <c r="C448" t="s">
        <v>8</v>
      </c>
      <c r="D448">
        <v>10</v>
      </c>
      <c r="E448">
        <v>21</v>
      </c>
      <c r="F448">
        <v>0</v>
      </c>
      <c r="G448">
        <v>4</v>
      </c>
      <c r="H448" s="1">
        <f t="shared" si="13"/>
        <v>45805</v>
      </c>
      <c r="I448">
        <f t="shared" si="14"/>
        <v>22</v>
      </c>
    </row>
    <row r="449" spans="1:9" x14ac:dyDescent="0.2">
      <c r="A449">
        <v>20250528</v>
      </c>
      <c r="B449" t="s">
        <v>10</v>
      </c>
      <c r="C449" t="s">
        <v>8</v>
      </c>
      <c r="D449">
        <v>3</v>
      </c>
      <c r="E449">
        <v>29</v>
      </c>
      <c r="F449">
        <v>0</v>
      </c>
      <c r="G449">
        <v>2</v>
      </c>
      <c r="H449" s="1">
        <f t="shared" si="13"/>
        <v>45805</v>
      </c>
      <c r="I449">
        <f t="shared" si="14"/>
        <v>22</v>
      </c>
    </row>
    <row r="450" spans="1:9" x14ac:dyDescent="0.2">
      <c r="A450">
        <v>20250529</v>
      </c>
      <c r="B450" t="s">
        <v>7</v>
      </c>
      <c r="C450" t="s">
        <v>8</v>
      </c>
      <c r="D450">
        <v>9</v>
      </c>
      <c r="E450">
        <v>12.6666666666666</v>
      </c>
      <c r="F450">
        <v>0</v>
      </c>
      <c r="G450">
        <v>0</v>
      </c>
      <c r="H450" s="1">
        <f t="shared" ref="H450:H513" si="15">DATE(LEFT(A450,4),MID(A450,5,2),RIGHT(A450,2))</f>
        <v>45806</v>
      </c>
      <c r="I450">
        <f t="shared" ref="I450:I513" si="16">WEEKNUM(H450)</f>
        <v>22</v>
      </c>
    </row>
    <row r="451" spans="1:9" x14ac:dyDescent="0.2">
      <c r="A451">
        <v>20250529</v>
      </c>
      <c r="B451" t="s">
        <v>9</v>
      </c>
      <c r="C451" t="s">
        <v>8</v>
      </c>
      <c r="D451">
        <v>15</v>
      </c>
      <c r="E451">
        <v>9.2666666666666604</v>
      </c>
      <c r="F451">
        <v>0</v>
      </c>
      <c r="G451">
        <v>0</v>
      </c>
      <c r="H451" s="1">
        <f t="shared" si="15"/>
        <v>45806</v>
      </c>
      <c r="I451">
        <f t="shared" si="16"/>
        <v>22</v>
      </c>
    </row>
    <row r="452" spans="1:9" x14ac:dyDescent="0.2">
      <c r="A452">
        <v>20250529</v>
      </c>
      <c r="B452" t="s">
        <v>9</v>
      </c>
      <c r="C452" t="s">
        <v>32</v>
      </c>
      <c r="D452">
        <v>1</v>
      </c>
      <c r="E452">
        <v>10</v>
      </c>
      <c r="F452">
        <v>0</v>
      </c>
      <c r="G452">
        <v>0</v>
      </c>
      <c r="H452" s="1">
        <f t="shared" si="15"/>
        <v>45806</v>
      </c>
      <c r="I452">
        <f t="shared" si="16"/>
        <v>22</v>
      </c>
    </row>
    <row r="453" spans="1:9" x14ac:dyDescent="0.2">
      <c r="A453">
        <v>20250529</v>
      </c>
      <c r="B453" t="s">
        <v>10</v>
      </c>
      <c r="C453" t="s">
        <v>8</v>
      </c>
      <c r="D453">
        <v>4</v>
      </c>
      <c r="E453">
        <v>21.5</v>
      </c>
      <c r="F453">
        <v>0</v>
      </c>
      <c r="G453">
        <v>0</v>
      </c>
      <c r="H453" s="1">
        <f t="shared" si="15"/>
        <v>45806</v>
      </c>
      <c r="I453">
        <f t="shared" si="16"/>
        <v>22</v>
      </c>
    </row>
    <row r="454" spans="1:9" x14ac:dyDescent="0.2">
      <c r="A454">
        <v>20250530</v>
      </c>
      <c r="B454" t="s">
        <v>7</v>
      </c>
      <c r="C454" t="s">
        <v>8</v>
      </c>
      <c r="D454">
        <v>5</v>
      </c>
      <c r="E454">
        <v>10</v>
      </c>
      <c r="F454">
        <v>0</v>
      </c>
      <c r="G454">
        <v>0</v>
      </c>
      <c r="H454" s="1">
        <f t="shared" si="15"/>
        <v>45807</v>
      </c>
      <c r="I454">
        <f t="shared" si="16"/>
        <v>22</v>
      </c>
    </row>
    <row r="455" spans="1:9" x14ac:dyDescent="0.2">
      <c r="A455">
        <v>20250530</v>
      </c>
      <c r="B455" t="s">
        <v>9</v>
      </c>
      <c r="C455" t="s">
        <v>8</v>
      </c>
      <c r="D455">
        <v>9</v>
      </c>
      <c r="E455">
        <v>20.1111111111111</v>
      </c>
      <c r="F455">
        <v>0</v>
      </c>
      <c r="G455">
        <v>0</v>
      </c>
      <c r="H455" s="1">
        <f t="shared" si="15"/>
        <v>45807</v>
      </c>
      <c r="I455">
        <f t="shared" si="16"/>
        <v>22</v>
      </c>
    </row>
    <row r="456" spans="1:9" x14ac:dyDescent="0.2">
      <c r="A456">
        <v>20250530</v>
      </c>
      <c r="B456" t="s">
        <v>10</v>
      </c>
      <c r="C456" t="s">
        <v>8</v>
      </c>
      <c r="D456">
        <v>6</v>
      </c>
      <c r="E456">
        <v>25.1666666666666</v>
      </c>
      <c r="F456">
        <v>0</v>
      </c>
      <c r="G456">
        <v>0</v>
      </c>
      <c r="H456" s="1">
        <f t="shared" si="15"/>
        <v>45807</v>
      </c>
      <c r="I456">
        <f t="shared" si="16"/>
        <v>22</v>
      </c>
    </row>
    <row r="457" spans="1:9" x14ac:dyDescent="0.2">
      <c r="A457">
        <v>20250531</v>
      </c>
      <c r="B457" t="s">
        <v>12</v>
      </c>
      <c r="C457" t="s">
        <v>8</v>
      </c>
      <c r="D457">
        <v>3</v>
      </c>
      <c r="E457">
        <v>46.6666666666666</v>
      </c>
      <c r="F457">
        <v>0</v>
      </c>
      <c r="G457">
        <v>0</v>
      </c>
      <c r="H457" s="1">
        <f t="shared" si="15"/>
        <v>45808</v>
      </c>
      <c r="I457">
        <f t="shared" si="16"/>
        <v>22</v>
      </c>
    </row>
    <row r="458" spans="1:9" x14ac:dyDescent="0.2">
      <c r="A458">
        <v>20250531</v>
      </c>
      <c r="B458" t="s">
        <v>7</v>
      </c>
      <c r="C458" t="s">
        <v>8</v>
      </c>
      <c r="D458">
        <v>10</v>
      </c>
      <c r="E458">
        <v>14.9</v>
      </c>
      <c r="F458">
        <v>0</v>
      </c>
      <c r="G458">
        <v>0</v>
      </c>
      <c r="H458" s="1">
        <f t="shared" si="15"/>
        <v>45808</v>
      </c>
      <c r="I458">
        <f t="shared" si="16"/>
        <v>22</v>
      </c>
    </row>
    <row r="459" spans="1:9" x14ac:dyDescent="0.2">
      <c r="A459">
        <v>20250531</v>
      </c>
      <c r="B459" t="s">
        <v>23</v>
      </c>
      <c r="C459" t="s">
        <v>15</v>
      </c>
      <c r="D459">
        <v>3</v>
      </c>
      <c r="E459">
        <v>35.3333333333333</v>
      </c>
      <c r="F459">
        <v>0</v>
      </c>
      <c r="G459">
        <v>0</v>
      </c>
      <c r="H459" s="1">
        <f t="shared" si="15"/>
        <v>45808</v>
      </c>
      <c r="I459">
        <f t="shared" si="16"/>
        <v>22</v>
      </c>
    </row>
    <row r="460" spans="1:9" x14ac:dyDescent="0.2">
      <c r="A460">
        <v>20250531</v>
      </c>
      <c r="B460" t="s">
        <v>23</v>
      </c>
      <c r="C460" t="s">
        <v>8</v>
      </c>
      <c r="D460">
        <v>1</v>
      </c>
      <c r="E460">
        <v>1</v>
      </c>
      <c r="F460">
        <v>0</v>
      </c>
      <c r="G460">
        <v>0</v>
      </c>
      <c r="H460" s="1">
        <f t="shared" si="15"/>
        <v>45808</v>
      </c>
      <c r="I460">
        <f t="shared" si="16"/>
        <v>22</v>
      </c>
    </row>
    <row r="461" spans="1:9" x14ac:dyDescent="0.2">
      <c r="A461">
        <v>20250531</v>
      </c>
      <c r="B461" t="s">
        <v>9</v>
      </c>
      <c r="C461" t="s">
        <v>8</v>
      </c>
      <c r="D461">
        <v>19</v>
      </c>
      <c r="E461">
        <v>9.6842105263157894</v>
      </c>
      <c r="F461">
        <v>0</v>
      </c>
      <c r="G461">
        <v>0</v>
      </c>
      <c r="H461" s="1">
        <f t="shared" si="15"/>
        <v>45808</v>
      </c>
      <c r="I461">
        <f t="shared" si="16"/>
        <v>22</v>
      </c>
    </row>
    <row r="462" spans="1:9" x14ac:dyDescent="0.2">
      <c r="A462">
        <v>20250531</v>
      </c>
      <c r="B462" t="s">
        <v>9</v>
      </c>
      <c r="C462" t="s">
        <v>22</v>
      </c>
      <c r="D462">
        <v>1</v>
      </c>
      <c r="E462">
        <v>38</v>
      </c>
      <c r="F462">
        <v>0</v>
      </c>
      <c r="G462">
        <v>0</v>
      </c>
      <c r="H462" s="1">
        <f t="shared" si="15"/>
        <v>45808</v>
      </c>
      <c r="I462">
        <f t="shared" si="16"/>
        <v>22</v>
      </c>
    </row>
    <row r="463" spans="1:9" x14ac:dyDescent="0.2">
      <c r="A463">
        <v>20250531</v>
      </c>
      <c r="B463" t="s">
        <v>10</v>
      </c>
      <c r="C463" t="s">
        <v>8</v>
      </c>
      <c r="D463">
        <v>3</v>
      </c>
      <c r="E463">
        <v>24.6666666666666</v>
      </c>
      <c r="F463">
        <v>0</v>
      </c>
      <c r="G463">
        <v>0</v>
      </c>
      <c r="H463" s="1">
        <f t="shared" si="15"/>
        <v>45808</v>
      </c>
      <c r="I463">
        <f t="shared" si="16"/>
        <v>22</v>
      </c>
    </row>
    <row r="464" spans="1:9" x14ac:dyDescent="0.2">
      <c r="A464">
        <v>20250531</v>
      </c>
      <c r="B464" t="s">
        <v>10</v>
      </c>
      <c r="C464" t="s">
        <v>11</v>
      </c>
      <c r="D464">
        <v>1</v>
      </c>
      <c r="E464">
        <v>1</v>
      </c>
      <c r="F464">
        <v>1</v>
      </c>
      <c r="G464">
        <v>10</v>
      </c>
      <c r="H464" s="1">
        <f t="shared" si="15"/>
        <v>45808</v>
      </c>
      <c r="I464">
        <f t="shared" si="16"/>
        <v>22</v>
      </c>
    </row>
    <row r="465" spans="1:9" x14ac:dyDescent="0.2">
      <c r="A465">
        <v>20250601</v>
      </c>
      <c r="B465" t="s">
        <v>12</v>
      </c>
      <c r="C465" t="s">
        <v>8</v>
      </c>
      <c r="D465">
        <v>1</v>
      </c>
      <c r="E465">
        <v>65</v>
      </c>
      <c r="F465">
        <v>0</v>
      </c>
      <c r="G465">
        <v>0</v>
      </c>
      <c r="H465" s="1">
        <f t="shared" si="15"/>
        <v>45809</v>
      </c>
      <c r="I465">
        <f t="shared" si="16"/>
        <v>23</v>
      </c>
    </row>
    <row r="466" spans="1:9" x14ac:dyDescent="0.2">
      <c r="A466">
        <v>20250601</v>
      </c>
      <c r="B466" t="s">
        <v>16</v>
      </c>
      <c r="C466" t="s">
        <v>8</v>
      </c>
      <c r="D466">
        <v>1</v>
      </c>
      <c r="E466">
        <v>29</v>
      </c>
      <c r="F466">
        <v>0</v>
      </c>
      <c r="G466">
        <v>0</v>
      </c>
      <c r="H466" s="1">
        <f t="shared" si="15"/>
        <v>45809</v>
      </c>
      <c r="I466">
        <f t="shared" si="16"/>
        <v>23</v>
      </c>
    </row>
    <row r="467" spans="1:9" x14ac:dyDescent="0.2">
      <c r="A467">
        <v>20250601</v>
      </c>
      <c r="B467" t="s">
        <v>7</v>
      </c>
      <c r="C467" t="s">
        <v>8</v>
      </c>
      <c r="D467">
        <v>4</v>
      </c>
      <c r="E467">
        <v>11.25</v>
      </c>
      <c r="F467">
        <v>0</v>
      </c>
      <c r="G467">
        <v>0</v>
      </c>
      <c r="H467" s="1">
        <f t="shared" si="15"/>
        <v>45809</v>
      </c>
      <c r="I467">
        <f t="shared" si="16"/>
        <v>23</v>
      </c>
    </row>
    <row r="468" spans="1:9" x14ac:dyDescent="0.2">
      <c r="A468">
        <v>20250601</v>
      </c>
      <c r="B468" t="s">
        <v>7</v>
      </c>
      <c r="C468" t="s">
        <v>28</v>
      </c>
      <c r="D468">
        <v>1</v>
      </c>
      <c r="E468">
        <v>38</v>
      </c>
      <c r="F468">
        <v>0</v>
      </c>
      <c r="G468">
        <v>0</v>
      </c>
      <c r="H468" s="1">
        <f t="shared" si="15"/>
        <v>45809</v>
      </c>
      <c r="I468">
        <f t="shared" si="16"/>
        <v>23</v>
      </c>
    </row>
    <row r="469" spans="1:9" x14ac:dyDescent="0.2">
      <c r="A469">
        <v>20250601</v>
      </c>
      <c r="B469" t="s">
        <v>14</v>
      </c>
      <c r="C469" t="s">
        <v>8</v>
      </c>
      <c r="D469">
        <v>1</v>
      </c>
      <c r="E469">
        <v>26</v>
      </c>
      <c r="F469">
        <v>0</v>
      </c>
      <c r="G469">
        <v>0</v>
      </c>
      <c r="H469" s="1">
        <f t="shared" si="15"/>
        <v>45809</v>
      </c>
      <c r="I469">
        <f t="shared" si="16"/>
        <v>23</v>
      </c>
    </row>
    <row r="470" spans="1:9" x14ac:dyDescent="0.2">
      <c r="A470">
        <v>20250601</v>
      </c>
      <c r="B470" t="s">
        <v>9</v>
      </c>
      <c r="C470" t="s">
        <v>8</v>
      </c>
      <c r="D470">
        <v>10</v>
      </c>
      <c r="E470">
        <v>6.9</v>
      </c>
      <c r="F470">
        <v>0</v>
      </c>
      <c r="G470">
        <v>0</v>
      </c>
      <c r="H470" s="1">
        <f t="shared" si="15"/>
        <v>45809</v>
      </c>
      <c r="I470">
        <f t="shared" si="16"/>
        <v>23</v>
      </c>
    </row>
    <row r="471" spans="1:9" x14ac:dyDescent="0.2">
      <c r="A471">
        <v>20250601</v>
      </c>
      <c r="B471" t="s">
        <v>10</v>
      </c>
      <c r="C471" t="s">
        <v>8</v>
      </c>
      <c r="D471">
        <v>8</v>
      </c>
      <c r="E471">
        <v>17.5</v>
      </c>
      <c r="F471">
        <v>0</v>
      </c>
      <c r="G471">
        <v>0</v>
      </c>
      <c r="H471" s="1">
        <f t="shared" si="15"/>
        <v>45809</v>
      </c>
      <c r="I471">
        <f t="shared" si="16"/>
        <v>23</v>
      </c>
    </row>
    <row r="472" spans="1:9" x14ac:dyDescent="0.2">
      <c r="A472">
        <v>20250601</v>
      </c>
      <c r="B472" t="s">
        <v>10</v>
      </c>
      <c r="C472" t="s">
        <v>11</v>
      </c>
      <c r="D472">
        <v>7</v>
      </c>
      <c r="E472">
        <v>83.142857142857096</v>
      </c>
      <c r="F472">
        <v>0</v>
      </c>
      <c r="G472">
        <v>0</v>
      </c>
      <c r="H472" s="1">
        <f t="shared" si="15"/>
        <v>45809</v>
      </c>
      <c r="I472">
        <f t="shared" si="16"/>
        <v>23</v>
      </c>
    </row>
    <row r="473" spans="1:9" x14ac:dyDescent="0.2">
      <c r="A473">
        <v>20250602</v>
      </c>
      <c r="B473" t="s">
        <v>19</v>
      </c>
      <c r="C473" t="s">
        <v>8</v>
      </c>
      <c r="D473">
        <v>1</v>
      </c>
      <c r="E473">
        <v>18</v>
      </c>
      <c r="F473">
        <v>0</v>
      </c>
      <c r="G473">
        <v>0</v>
      </c>
      <c r="H473" s="1">
        <f t="shared" si="15"/>
        <v>45810</v>
      </c>
      <c r="I473">
        <f t="shared" si="16"/>
        <v>23</v>
      </c>
    </row>
    <row r="474" spans="1:9" x14ac:dyDescent="0.2">
      <c r="A474">
        <v>20250602</v>
      </c>
      <c r="B474" t="s">
        <v>16</v>
      </c>
      <c r="C474" t="s">
        <v>8</v>
      </c>
      <c r="D474">
        <v>1</v>
      </c>
      <c r="E474">
        <v>1</v>
      </c>
      <c r="F474">
        <v>0</v>
      </c>
      <c r="G474">
        <v>0</v>
      </c>
      <c r="H474" s="1">
        <f t="shared" si="15"/>
        <v>45810</v>
      </c>
      <c r="I474">
        <f t="shared" si="16"/>
        <v>23</v>
      </c>
    </row>
    <row r="475" spans="1:9" x14ac:dyDescent="0.2">
      <c r="A475">
        <v>20250602</v>
      </c>
      <c r="B475" t="s">
        <v>7</v>
      </c>
      <c r="C475" t="s">
        <v>8</v>
      </c>
      <c r="D475">
        <v>8</v>
      </c>
      <c r="E475">
        <v>23.375</v>
      </c>
      <c r="F475">
        <v>0</v>
      </c>
      <c r="G475">
        <v>0</v>
      </c>
      <c r="H475" s="1">
        <f t="shared" si="15"/>
        <v>45810</v>
      </c>
      <c r="I475">
        <f t="shared" si="16"/>
        <v>23</v>
      </c>
    </row>
    <row r="476" spans="1:9" x14ac:dyDescent="0.2">
      <c r="A476">
        <v>20250602</v>
      </c>
      <c r="B476" t="s">
        <v>9</v>
      </c>
      <c r="C476" t="s">
        <v>8</v>
      </c>
      <c r="D476">
        <v>8</v>
      </c>
      <c r="E476">
        <v>24</v>
      </c>
      <c r="F476">
        <v>0</v>
      </c>
      <c r="G476">
        <v>0</v>
      </c>
      <c r="H476" s="1">
        <f t="shared" si="15"/>
        <v>45810</v>
      </c>
      <c r="I476">
        <f t="shared" si="16"/>
        <v>23</v>
      </c>
    </row>
    <row r="477" spans="1:9" x14ac:dyDescent="0.2">
      <c r="A477">
        <v>20250602</v>
      </c>
      <c r="B477" t="s">
        <v>9</v>
      </c>
      <c r="C477" t="s">
        <v>18</v>
      </c>
      <c r="D477">
        <v>1</v>
      </c>
      <c r="E477">
        <v>1</v>
      </c>
      <c r="F477">
        <v>0</v>
      </c>
      <c r="G477">
        <v>2</v>
      </c>
      <c r="H477" s="1">
        <f t="shared" si="15"/>
        <v>45810</v>
      </c>
      <c r="I477">
        <f t="shared" si="16"/>
        <v>23</v>
      </c>
    </row>
    <row r="478" spans="1:9" x14ac:dyDescent="0.2">
      <c r="A478">
        <v>20250602</v>
      </c>
      <c r="B478" t="s">
        <v>10</v>
      </c>
      <c r="C478" t="s">
        <v>11</v>
      </c>
      <c r="D478">
        <v>7</v>
      </c>
      <c r="E478">
        <v>57.857142857142797</v>
      </c>
      <c r="F478">
        <v>0</v>
      </c>
      <c r="G478">
        <v>0</v>
      </c>
      <c r="H478" s="1">
        <f t="shared" si="15"/>
        <v>45810</v>
      </c>
      <c r="I478">
        <f t="shared" si="16"/>
        <v>23</v>
      </c>
    </row>
    <row r="479" spans="1:9" x14ac:dyDescent="0.2">
      <c r="A479">
        <v>20250602</v>
      </c>
      <c r="B479" t="s">
        <v>10</v>
      </c>
      <c r="C479" t="s">
        <v>8</v>
      </c>
      <c r="D479">
        <v>6</v>
      </c>
      <c r="E479">
        <v>27</v>
      </c>
      <c r="F479">
        <v>0</v>
      </c>
      <c r="G479">
        <v>0</v>
      </c>
      <c r="H479" s="1">
        <f t="shared" si="15"/>
        <v>45810</v>
      </c>
      <c r="I479">
        <f t="shared" si="16"/>
        <v>23</v>
      </c>
    </row>
    <row r="480" spans="1:9" x14ac:dyDescent="0.2">
      <c r="A480">
        <v>20250603</v>
      </c>
      <c r="B480" t="s">
        <v>12</v>
      </c>
      <c r="C480" t="s">
        <v>8</v>
      </c>
      <c r="D480">
        <v>9</v>
      </c>
      <c r="E480">
        <v>36.3333333333333</v>
      </c>
      <c r="F480">
        <v>0</v>
      </c>
      <c r="G480">
        <v>0</v>
      </c>
      <c r="H480" s="1">
        <f t="shared" si="15"/>
        <v>45811</v>
      </c>
      <c r="I480">
        <f t="shared" si="16"/>
        <v>23</v>
      </c>
    </row>
    <row r="481" spans="1:9" x14ac:dyDescent="0.2">
      <c r="A481">
        <v>20250603</v>
      </c>
      <c r="B481" t="s">
        <v>16</v>
      </c>
      <c r="C481" t="s">
        <v>8</v>
      </c>
      <c r="D481">
        <v>4</v>
      </c>
      <c r="E481">
        <v>18.75</v>
      </c>
      <c r="F481">
        <v>0</v>
      </c>
      <c r="G481">
        <v>0</v>
      </c>
      <c r="H481" s="1">
        <f t="shared" si="15"/>
        <v>45811</v>
      </c>
      <c r="I481">
        <f t="shared" si="16"/>
        <v>23</v>
      </c>
    </row>
    <row r="482" spans="1:9" x14ac:dyDescent="0.2">
      <c r="A482">
        <v>20250603</v>
      </c>
      <c r="B482" t="s">
        <v>7</v>
      </c>
      <c r="C482" t="s">
        <v>8</v>
      </c>
      <c r="D482">
        <v>4</v>
      </c>
      <c r="E482">
        <v>9</v>
      </c>
      <c r="F482">
        <v>0</v>
      </c>
      <c r="G482">
        <v>0</v>
      </c>
      <c r="H482" s="1">
        <f t="shared" si="15"/>
        <v>45811</v>
      </c>
      <c r="I482">
        <f t="shared" si="16"/>
        <v>23</v>
      </c>
    </row>
    <row r="483" spans="1:9" x14ac:dyDescent="0.2">
      <c r="A483">
        <v>20250603</v>
      </c>
      <c r="B483" t="s">
        <v>9</v>
      </c>
      <c r="C483" t="s">
        <v>8</v>
      </c>
      <c r="D483">
        <v>32</v>
      </c>
      <c r="E483">
        <v>20.25</v>
      </c>
      <c r="F483">
        <v>0</v>
      </c>
      <c r="G483">
        <v>0</v>
      </c>
      <c r="H483" s="1">
        <f t="shared" si="15"/>
        <v>45811</v>
      </c>
      <c r="I483">
        <f t="shared" si="16"/>
        <v>23</v>
      </c>
    </row>
    <row r="484" spans="1:9" x14ac:dyDescent="0.2">
      <c r="A484">
        <v>20250603</v>
      </c>
      <c r="B484" t="s">
        <v>9</v>
      </c>
      <c r="C484" t="s">
        <v>22</v>
      </c>
      <c r="D484">
        <v>1</v>
      </c>
      <c r="E484">
        <v>64</v>
      </c>
      <c r="F484">
        <v>0</v>
      </c>
      <c r="G484">
        <v>0</v>
      </c>
      <c r="H484" s="1">
        <f t="shared" si="15"/>
        <v>45811</v>
      </c>
      <c r="I484">
        <f t="shared" si="16"/>
        <v>23</v>
      </c>
    </row>
    <row r="485" spans="1:9" x14ac:dyDescent="0.2">
      <c r="A485">
        <v>20250603</v>
      </c>
      <c r="B485" t="s">
        <v>10</v>
      </c>
      <c r="C485" t="s">
        <v>11</v>
      </c>
      <c r="D485">
        <v>7</v>
      </c>
      <c r="E485">
        <v>57.142857142857103</v>
      </c>
      <c r="F485">
        <v>0</v>
      </c>
      <c r="G485">
        <v>0</v>
      </c>
      <c r="H485" s="1">
        <f t="shared" si="15"/>
        <v>45811</v>
      </c>
      <c r="I485">
        <f t="shared" si="16"/>
        <v>23</v>
      </c>
    </row>
    <row r="486" spans="1:9" x14ac:dyDescent="0.2">
      <c r="A486">
        <v>20250603</v>
      </c>
      <c r="B486" t="s">
        <v>10</v>
      </c>
      <c r="C486" t="s">
        <v>8</v>
      </c>
      <c r="D486">
        <v>3</v>
      </c>
      <c r="E486">
        <v>28</v>
      </c>
      <c r="F486">
        <v>0</v>
      </c>
      <c r="G486">
        <v>0</v>
      </c>
      <c r="H486" s="1">
        <f t="shared" si="15"/>
        <v>45811</v>
      </c>
      <c r="I486">
        <f t="shared" si="16"/>
        <v>23</v>
      </c>
    </row>
    <row r="487" spans="1:9" x14ac:dyDescent="0.2">
      <c r="A487">
        <v>20250603</v>
      </c>
      <c r="B487" t="s">
        <v>10</v>
      </c>
      <c r="C487" t="s">
        <v>17</v>
      </c>
      <c r="D487">
        <v>1</v>
      </c>
      <c r="E487">
        <v>69</v>
      </c>
      <c r="F487">
        <v>0</v>
      </c>
      <c r="G487">
        <v>0</v>
      </c>
      <c r="H487" s="1">
        <f t="shared" si="15"/>
        <v>45811</v>
      </c>
      <c r="I487">
        <f t="shared" si="16"/>
        <v>23</v>
      </c>
    </row>
    <row r="488" spans="1:9" x14ac:dyDescent="0.2">
      <c r="A488">
        <v>20250604</v>
      </c>
      <c r="B488" t="s">
        <v>12</v>
      </c>
      <c r="C488" t="s">
        <v>8</v>
      </c>
      <c r="D488">
        <v>7</v>
      </c>
      <c r="E488">
        <v>35.714285714285701</v>
      </c>
      <c r="F488">
        <v>0</v>
      </c>
      <c r="G488">
        <v>0</v>
      </c>
      <c r="H488" s="1">
        <f t="shared" si="15"/>
        <v>45812</v>
      </c>
      <c r="I488">
        <f t="shared" si="16"/>
        <v>23</v>
      </c>
    </row>
    <row r="489" spans="1:9" x14ac:dyDescent="0.2">
      <c r="A489">
        <v>20250604</v>
      </c>
      <c r="B489" t="s">
        <v>7</v>
      </c>
      <c r="C489" t="s">
        <v>8</v>
      </c>
      <c r="D489">
        <v>3</v>
      </c>
      <c r="E489">
        <v>9.3333333333333304</v>
      </c>
      <c r="F489">
        <v>0</v>
      </c>
      <c r="G489">
        <v>0</v>
      </c>
      <c r="H489" s="1">
        <f t="shared" si="15"/>
        <v>45812</v>
      </c>
      <c r="I489">
        <f t="shared" si="16"/>
        <v>23</v>
      </c>
    </row>
    <row r="490" spans="1:9" x14ac:dyDescent="0.2">
      <c r="A490">
        <v>20250604</v>
      </c>
      <c r="B490" t="s">
        <v>9</v>
      </c>
      <c r="C490" t="s">
        <v>8</v>
      </c>
      <c r="D490">
        <v>28</v>
      </c>
      <c r="E490">
        <v>21.25</v>
      </c>
      <c r="F490">
        <v>0</v>
      </c>
      <c r="G490">
        <v>0</v>
      </c>
      <c r="H490" s="1">
        <f t="shared" si="15"/>
        <v>45812</v>
      </c>
      <c r="I490">
        <f t="shared" si="16"/>
        <v>23</v>
      </c>
    </row>
    <row r="491" spans="1:9" x14ac:dyDescent="0.2">
      <c r="A491">
        <v>20250604</v>
      </c>
      <c r="B491" t="s">
        <v>10</v>
      </c>
      <c r="C491" t="s">
        <v>11</v>
      </c>
      <c r="D491">
        <v>9</v>
      </c>
      <c r="E491">
        <v>48.7777777777777</v>
      </c>
      <c r="F491">
        <v>0</v>
      </c>
      <c r="G491">
        <v>0</v>
      </c>
      <c r="H491" s="1">
        <f t="shared" si="15"/>
        <v>45812</v>
      </c>
      <c r="I491">
        <f t="shared" si="16"/>
        <v>23</v>
      </c>
    </row>
    <row r="492" spans="1:9" x14ac:dyDescent="0.2">
      <c r="A492">
        <v>20250604</v>
      </c>
      <c r="B492" t="s">
        <v>10</v>
      </c>
      <c r="C492" t="s">
        <v>8</v>
      </c>
      <c r="D492">
        <v>4</v>
      </c>
      <c r="E492">
        <v>32</v>
      </c>
      <c r="F492">
        <v>0</v>
      </c>
      <c r="G492">
        <v>0</v>
      </c>
      <c r="H492" s="1">
        <f t="shared" si="15"/>
        <v>45812</v>
      </c>
      <c r="I492">
        <f t="shared" si="16"/>
        <v>23</v>
      </c>
    </row>
    <row r="493" spans="1:9" x14ac:dyDescent="0.2">
      <c r="A493">
        <v>20250605</v>
      </c>
      <c r="B493" t="s">
        <v>12</v>
      </c>
      <c r="C493" t="s">
        <v>8</v>
      </c>
      <c r="D493">
        <v>5</v>
      </c>
      <c r="E493">
        <v>39.6</v>
      </c>
      <c r="F493">
        <v>0</v>
      </c>
      <c r="G493">
        <v>0</v>
      </c>
      <c r="H493" s="1">
        <f t="shared" si="15"/>
        <v>45813</v>
      </c>
      <c r="I493">
        <f t="shared" si="16"/>
        <v>23</v>
      </c>
    </row>
    <row r="494" spans="1:9" x14ac:dyDescent="0.2">
      <c r="A494">
        <v>20250605</v>
      </c>
      <c r="B494" t="s">
        <v>16</v>
      </c>
      <c r="C494" t="s">
        <v>8</v>
      </c>
      <c r="D494">
        <v>2</v>
      </c>
      <c r="E494">
        <v>52</v>
      </c>
      <c r="F494">
        <v>0</v>
      </c>
      <c r="G494">
        <v>0</v>
      </c>
      <c r="H494" s="1">
        <f t="shared" si="15"/>
        <v>45813</v>
      </c>
      <c r="I494">
        <f t="shared" si="16"/>
        <v>23</v>
      </c>
    </row>
    <row r="495" spans="1:9" x14ac:dyDescent="0.2">
      <c r="A495">
        <v>20250605</v>
      </c>
      <c r="B495" t="s">
        <v>16</v>
      </c>
      <c r="C495" t="s">
        <v>13</v>
      </c>
      <c r="D495">
        <v>2</v>
      </c>
      <c r="E495">
        <v>1</v>
      </c>
      <c r="F495">
        <v>0</v>
      </c>
      <c r="G495">
        <v>0</v>
      </c>
      <c r="H495" s="1">
        <f t="shared" si="15"/>
        <v>45813</v>
      </c>
      <c r="I495">
        <f t="shared" si="16"/>
        <v>23</v>
      </c>
    </row>
    <row r="496" spans="1:9" x14ac:dyDescent="0.2">
      <c r="A496">
        <v>20250605</v>
      </c>
      <c r="B496" t="s">
        <v>7</v>
      </c>
      <c r="C496" t="s">
        <v>13</v>
      </c>
      <c r="D496">
        <v>8</v>
      </c>
      <c r="E496">
        <v>1</v>
      </c>
      <c r="F496">
        <v>0</v>
      </c>
      <c r="G496">
        <v>0</v>
      </c>
      <c r="H496" s="1">
        <f t="shared" si="15"/>
        <v>45813</v>
      </c>
      <c r="I496">
        <f t="shared" si="16"/>
        <v>23</v>
      </c>
    </row>
    <row r="497" spans="1:9" x14ac:dyDescent="0.2">
      <c r="A497">
        <v>20250605</v>
      </c>
      <c r="B497" t="s">
        <v>7</v>
      </c>
      <c r="C497" t="s">
        <v>8</v>
      </c>
      <c r="D497">
        <v>4</v>
      </c>
      <c r="E497">
        <v>22</v>
      </c>
      <c r="F497">
        <v>0</v>
      </c>
      <c r="G497">
        <v>0</v>
      </c>
      <c r="H497" s="1">
        <f t="shared" si="15"/>
        <v>45813</v>
      </c>
      <c r="I497">
        <f t="shared" si="16"/>
        <v>23</v>
      </c>
    </row>
    <row r="498" spans="1:9" x14ac:dyDescent="0.2">
      <c r="A498">
        <v>20250605</v>
      </c>
      <c r="B498" t="s">
        <v>23</v>
      </c>
      <c r="C498" t="s">
        <v>8</v>
      </c>
      <c r="D498">
        <v>1</v>
      </c>
      <c r="E498">
        <v>90</v>
      </c>
      <c r="F498">
        <v>0</v>
      </c>
      <c r="G498">
        <v>0</v>
      </c>
      <c r="H498" s="1">
        <f t="shared" si="15"/>
        <v>45813</v>
      </c>
      <c r="I498">
        <f t="shared" si="16"/>
        <v>23</v>
      </c>
    </row>
    <row r="499" spans="1:9" x14ac:dyDescent="0.2">
      <c r="A499">
        <v>20250605</v>
      </c>
      <c r="B499" t="s">
        <v>9</v>
      </c>
      <c r="C499" t="s">
        <v>8</v>
      </c>
      <c r="D499">
        <v>14</v>
      </c>
      <c r="E499">
        <v>23</v>
      </c>
      <c r="F499">
        <v>0</v>
      </c>
      <c r="G499">
        <v>0</v>
      </c>
      <c r="H499" s="1">
        <f t="shared" si="15"/>
        <v>45813</v>
      </c>
      <c r="I499">
        <f t="shared" si="16"/>
        <v>23</v>
      </c>
    </row>
    <row r="500" spans="1:9" x14ac:dyDescent="0.2">
      <c r="A500">
        <v>20250605</v>
      </c>
      <c r="B500" t="s">
        <v>10</v>
      </c>
      <c r="C500" t="s">
        <v>11</v>
      </c>
      <c r="D500">
        <v>9</v>
      </c>
      <c r="E500">
        <v>47.5555555555555</v>
      </c>
      <c r="F500">
        <v>0</v>
      </c>
      <c r="G500">
        <v>0</v>
      </c>
      <c r="H500" s="1">
        <f t="shared" si="15"/>
        <v>45813</v>
      </c>
      <c r="I500">
        <f t="shared" si="16"/>
        <v>23</v>
      </c>
    </row>
    <row r="501" spans="1:9" x14ac:dyDescent="0.2">
      <c r="A501">
        <v>20250605</v>
      </c>
      <c r="B501" t="s">
        <v>10</v>
      </c>
      <c r="C501" t="s">
        <v>8</v>
      </c>
      <c r="D501">
        <v>1</v>
      </c>
      <c r="E501">
        <v>33</v>
      </c>
      <c r="F501">
        <v>0</v>
      </c>
      <c r="G501">
        <v>0</v>
      </c>
      <c r="H501" s="1">
        <f t="shared" si="15"/>
        <v>45813</v>
      </c>
      <c r="I501">
        <f t="shared" si="16"/>
        <v>23</v>
      </c>
    </row>
    <row r="502" spans="1:9" x14ac:dyDescent="0.2">
      <c r="A502">
        <v>20250606</v>
      </c>
      <c r="B502" t="s">
        <v>19</v>
      </c>
      <c r="C502" t="s">
        <v>8</v>
      </c>
      <c r="D502">
        <v>1</v>
      </c>
      <c r="E502">
        <v>2</v>
      </c>
      <c r="F502">
        <v>0</v>
      </c>
      <c r="G502">
        <v>0</v>
      </c>
      <c r="H502" s="1">
        <f t="shared" si="15"/>
        <v>45814</v>
      </c>
      <c r="I502">
        <f t="shared" si="16"/>
        <v>23</v>
      </c>
    </row>
    <row r="503" spans="1:9" x14ac:dyDescent="0.2">
      <c r="A503">
        <v>20250606</v>
      </c>
      <c r="B503" t="s">
        <v>12</v>
      </c>
      <c r="C503" t="s">
        <v>8</v>
      </c>
      <c r="D503">
        <v>4</v>
      </c>
      <c r="E503">
        <v>38.25</v>
      </c>
      <c r="F503">
        <v>0</v>
      </c>
      <c r="G503">
        <v>0</v>
      </c>
      <c r="H503" s="1">
        <f t="shared" si="15"/>
        <v>45814</v>
      </c>
      <c r="I503">
        <f t="shared" si="16"/>
        <v>23</v>
      </c>
    </row>
    <row r="504" spans="1:9" x14ac:dyDescent="0.2">
      <c r="A504">
        <v>20250606</v>
      </c>
      <c r="B504" t="s">
        <v>7</v>
      </c>
      <c r="C504" t="s">
        <v>8</v>
      </c>
      <c r="D504">
        <v>17</v>
      </c>
      <c r="E504">
        <v>10.058823529411701</v>
      </c>
      <c r="F504">
        <v>0</v>
      </c>
      <c r="G504">
        <v>0</v>
      </c>
      <c r="H504" s="1">
        <f t="shared" si="15"/>
        <v>45814</v>
      </c>
      <c r="I504">
        <f t="shared" si="16"/>
        <v>23</v>
      </c>
    </row>
    <row r="505" spans="1:9" x14ac:dyDescent="0.2">
      <c r="A505">
        <v>20250606</v>
      </c>
      <c r="B505" t="s">
        <v>23</v>
      </c>
      <c r="C505" t="s">
        <v>24</v>
      </c>
      <c r="D505">
        <v>1</v>
      </c>
      <c r="E505">
        <v>52</v>
      </c>
      <c r="F505">
        <v>0</v>
      </c>
      <c r="G505">
        <v>0</v>
      </c>
      <c r="H505" s="1">
        <f t="shared" si="15"/>
        <v>45814</v>
      </c>
      <c r="I505">
        <f t="shared" si="16"/>
        <v>23</v>
      </c>
    </row>
    <row r="506" spans="1:9" x14ac:dyDescent="0.2">
      <c r="A506">
        <v>20250606</v>
      </c>
      <c r="B506" t="s">
        <v>9</v>
      </c>
      <c r="C506" t="s">
        <v>8</v>
      </c>
      <c r="D506">
        <v>22</v>
      </c>
      <c r="E506">
        <v>11.863636363636299</v>
      </c>
      <c r="F506">
        <v>0</v>
      </c>
      <c r="G506">
        <v>1</v>
      </c>
      <c r="H506" s="1">
        <f t="shared" si="15"/>
        <v>45814</v>
      </c>
      <c r="I506">
        <f t="shared" si="16"/>
        <v>23</v>
      </c>
    </row>
    <row r="507" spans="1:9" x14ac:dyDescent="0.2">
      <c r="A507">
        <v>20250606</v>
      </c>
      <c r="B507" t="s">
        <v>10</v>
      </c>
      <c r="C507" t="s">
        <v>11</v>
      </c>
      <c r="D507">
        <v>7</v>
      </c>
      <c r="E507">
        <v>60.714285714285701</v>
      </c>
      <c r="F507">
        <v>0</v>
      </c>
      <c r="G507">
        <v>0</v>
      </c>
      <c r="H507" s="1">
        <f t="shared" si="15"/>
        <v>45814</v>
      </c>
      <c r="I507">
        <f t="shared" si="16"/>
        <v>23</v>
      </c>
    </row>
    <row r="508" spans="1:9" x14ac:dyDescent="0.2">
      <c r="A508">
        <v>20250606</v>
      </c>
      <c r="B508" t="s">
        <v>10</v>
      </c>
      <c r="C508" t="s">
        <v>17</v>
      </c>
      <c r="D508">
        <v>2</v>
      </c>
      <c r="E508">
        <v>20</v>
      </c>
      <c r="F508">
        <v>0</v>
      </c>
      <c r="G508">
        <v>0</v>
      </c>
      <c r="H508" s="1">
        <f t="shared" si="15"/>
        <v>45814</v>
      </c>
      <c r="I508">
        <f t="shared" si="16"/>
        <v>23</v>
      </c>
    </row>
    <row r="509" spans="1:9" x14ac:dyDescent="0.2">
      <c r="A509">
        <v>20250606</v>
      </c>
      <c r="B509" t="s">
        <v>10</v>
      </c>
      <c r="C509" t="s">
        <v>8</v>
      </c>
      <c r="D509">
        <v>1</v>
      </c>
      <c r="E509">
        <v>1</v>
      </c>
      <c r="F509">
        <v>0</v>
      </c>
      <c r="G509">
        <v>0</v>
      </c>
      <c r="H509" s="1">
        <f t="shared" si="15"/>
        <v>45814</v>
      </c>
      <c r="I509">
        <f t="shared" si="16"/>
        <v>23</v>
      </c>
    </row>
    <row r="510" spans="1:9" x14ac:dyDescent="0.2">
      <c r="A510">
        <v>20250607</v>
      </c>
      <c r="B510" t="s">
        <v>19</v>
      </c>
      <c r="C510" t="s">
        <v>8</v>
      </c>
      <c r="D510">
        <v>1</v>
      </c>
      <c r="E510">
        <v>2</v>
      </c>
      <c r="F510">
        <v>0</v>
      </c>
      <c r="G510">
        <v>0</v>
      </c>
      <c r="H510" s="1">
        <f t="shared" si="15"/>
        <v>45815</v>
      </c>
      <c r="I510">
        <f t="shared" si="16"/>
        <v>23</v>
      </c>
    </row>
    <row r="511" spans="1:9" x14ac:dyDescent="0.2">
      <c r="A511">
        <v>20250607</v>
      </c>
      <c r="B511" t="s">
        <v>29</v>
      </c>
      <c r="C511" t="s">
        <v>8</v>
      </c>
      <c r="D511">
        <v>1</v>
      </c>
      <c r="E511">
        <v>30</v>
      </c>
      <c r="F511">
        <v>0</v>
      </c>
      <c r="G511">
        <v>0</v>
      </c>
      <c r="H511" s="1">
        <f t="shared" si="15"/>
        <v>45815</v>
      </c>
      <c r="I511">
        <f t="shared" si="16"/>
        <v>23</v>
      </c>
    </row>
    <row r="512" spans="1:9" x14ac:dyDescent="0.2">
      <c r="A512">
        <v>20250607</v>
      </c>
      <c r="B512" t="s">
        <v>16</v>
      </c>
      <c r="C512" t="s">
        <v>8</v>
      </c>
      <c r="D512">
        <v>4</v>
      </c>
      <c r="E512">
        <v>75</v>
      </c>
      <c r="F512">
        <v>0</v>
      </c>
      <c r="G512">
        <v>0</v>
      </c>
      <c r="H512" s="1">
        <f t="shared" si="15"/>
        <v>45815</v>
      </c>
      <c r="I512">
        <f t="shared" si="16"/>
        <v>23</v>
      </c>
    </row>
    <row r="513" spans="1:9" x14ac:dyDescent="0.2">
      <c r="A513">
        <v>20250607</v>
      </c>
      <c r="B513" t="s">
        <v>7</v>
      </c>
      <c r="C513" t="s">
        <v>8</v>
      </c>
      <c r="D513">
        <v>8</v>
      </c>
      <c r="E513">
        <v>15</v>
      </c>
      <c r="F513">
        <v>0</v>
      </c>
      <c r="G513">
        <v>0</v>
      </c>
      <c r="H513" s="1">
        <f t="shared" si="15"/>
        <v>45815</v>
      </c>
      <c r="I513">
        <f t="shared" si="16"/>
        <v>23</v>
      </c>
    </row>
    <row r="514" spans="1:9" x14ac:dyDescent="0.2">
      <c r="A514">
        <v>20250607</v>
      </c>
      <c r="B514" t="s">
        <v>23</v>
      </c>
      <c r="C514" t="s">
        <v>15</v>
      </c>
      <c r="D514">
        <v>1</v>
      </c>
      <c r="E514">
        <v>22</v>
      </c>
      <c r="F514">
        <v>0</v>
      </c>
      <c r="G514">
        <v>0</v>
      </c>
      <c r="H514" s="1">
        <f t="shared" ref="H514:H577" si="17">DATE(LEFT(A514,4),MID(A514,5,2),RIGHT(A514,2))</f>
        <v>45815</v>
      </c>
      <c r="I514">
        <f t="shared" ref="I514:I577" si="18">WEEKNUM(H514)</f>
        <v>23</v>
      </c>
    </row>
    <row r="515" spans="1:9" x14ac:dyDescent="0.2">
      <c r="A515">
        <v>20250607</v>
      </c>
      <c r="B515" t="s">
        <v>14</v>
      </c>
      <c r="C515" t="s">
        <v>8</v>
      </c>
      <c r="D515">
        <v>1</v>
      </c>
      <c r="E515">
        <v>20</v>
      </c>
      <c r="F515">
        <v>0</v>
      </c>
      <c r="G515">
        <v>0</v>
      </c>
      <c r="H515" s="1">
        <f t="shared" si="17"/>
        <v>45815</v>
      </c>
      <c r="I515">
        <f t="shared" si="18"/>
        <v>23</v>
      </c>
    </row>
    <row r="516" spans="1:9" x14ac:dyDescent="0.2">
      <c r="A516">
        <v>20250607</v>
      </c>
      <c r="B516" t="s">
        <v>9</v>
      </c>
      <c r="C516" t="s">
        <v>8</v>
      </c>
      <c r="D516">
        <v>15</v>
      </c>
      <c r="E516">
        <v>11.6666666666666</v>
      </c>
      <c r="F516">
        <v>0</v>
      </c>
      <c r="G516">
        <v>0</v>
      </c>
      <c r="H516" s="1">
        <f t="shared" si="17"/>
        <v>45815</v>
      </c>
      <c r="I516">
        <f t="shared" si="18"/>
        <v>23</v>
      </c>
    </row>
    <row r="517" spans="1:9" x14ac:dyDescent="0.2">
      <c r="A517">
        <v>20250607</v>
      </c>
      <c r="B517" t="s">
        <v>10</v>
      </c>
      <c r="C517" t="s">
        <v>11</v>
      </c>
      <c r="D517">
        <v>11</v>
      </c>
      <c r="E517">
        <v>57.636363636363598</v>
      </c>
      <c r="F517">
        <v>0</v>
      </c>
      <c r="G517">
        <v>0</v>
      </c>
      <c r="H517" s="1">
        <f t="shared" si="17"/>
        <v>45815</v>
      </c>
      <c r="I517">
        <f t="shared" si="18"/>
        <v>23</v>
      </c>
    </row>
    <row r="518" spans="1:9" x14ac:dyDescent="0.2">
      <c r="A518">
        <v>20250608</v>
      </c>
      <c r="B518" t="s">
        <v>12</v>
      </c>
      <c r="C518" t="s">
        <v>8</v>
      </c>
      <c r="D518">
        <v>6</v>
      </c>
      <c r="E518">
        <v>26.5</v>
      </c>
      <c r="F518">
        <v>0</v>
      </c>
      <c r="G518">
        <v>0</v>
      </c>
      <c r="H518" s="1">
        <f t="shared" si="17"/>
        <v>45816</v>
      </c>
      <c r="I518">
        <f t="shared" si="18"/>
        <v>24</v>
      </c>
    </row>
    <row r="519" spans="1:9" x14ac:dyDescent="0.2">
      <c r="A519">
        <v>20250608</v>
      </c>
      <c r="B519" t="s">
        <v>7</v>
      </c>
      <c r="C519" t="s">
        <v>8</v>
      </c>
      <c r="D519">
        <v>25</v>
      </c>
      <c r="E519">
        <v>9.52</v>
      </c>
      <c r="F519">
        <v>0</v>
      </c>
      <c r="G519">
        <v>0</v>
      </c>
      <c r="H519" s="1">
        <f t="shared" si="17"/>
        <v>45816</v>
      </c>
      <c r="I519">
        <f t="shared" si="18"/>
        <v>24</v>
      </c>
    </row>
    <row r="520" spans="1:9" x14ac:dyDescent="0.2">
      <c r="A520">
        <v>20250608</v>
      </c>
      <c r="B520" t="s">
        <v>9</v>
      </c>
      <c r="C520" t="s">
        <v>8</v>
      </c>
      <c r="D520">
        <v>22</v>
      </c>
      <c r="E520">
        <v>13.409090909090899</v>
      </c>
      <c r="F520">
        <v>0</v>
      </c>
      <c r="G520">
        <v>0</v>
      </c>
      <c r="H520" s="1">
        <f t="shared" si="17"/>
        <v>45816</v>
      </c>
      <c r="I520">
        <f t="shared" si="18"/>
        <v>24</v>
      </c>
    </row>
    <row r="521" spans="1:9" x14ac:dyDescent="0.2">
      <c r="A521">
        <v>20250608</v>
      </c>
      <c r="B521" t="s">
        <v>10</v>
      </c>
      <c r="C521" t="s">
        <v>11</v>
      </c>
      <c r="D521">
        <v>7</v>
      </c>
      <c r="E521">
        <v>45.857142857142797</v>
      </c>
      <c r="F521">
        <v>0</v>
      </c>
      <c r="G521">
        <v>0</v>
      </c>
      <c r="H521" s="1">
        <f t="shared" si="17"/>
        <v>45816</v>
      </c>
      <c r="I521">
        <f t="shared" si="18"/>
        <v>24</v>
      </c>
    </row>
    <row r="522" spans="1:9" x14ac:dyDescent="0.2">
      <c r="A522">
        <v>20250609</v>
      </c>
      <c r="B522" t="s">
        <v>12</v>
      </c>
      <c r="C522" t="s">
        <v>8</v>
      </c>
      <c r="D522">
        <v>4</v>
      </c>
      <c r="E522">
        <v>30.5</v>
      </c>
      <c r="F522">
        <v>0</v>
      </c>
      <c r="G522">
        <v>0</v>
      </c>
      <c r="H522" s="1">
        <f t="shared" si="17"/>
        <v>45817</v>
      </c>
      <c r="I522">
        <f t="shared" si="18"/>
        <v>24</v>
      </c>
    </row>
    <row r="523" spans="1:9" x14ac:dyDescent="0.2">
      <c r="A523">
        <v>20250609</v>
      </c>
      <c r="B523" t="s">
        <v>7</v>
      </c>
      <c r="C523" t="s">
        <v>8</v>
      </c>
      <c r="D523">
        <v>10</v>
      </c>
      <c r="E523">
        <v>10.1</v>
      </c>
      <c r="F523">
        <v>0</v>
      </c>
      <c r="G523">
        <v>0</v>
      </c>
      <c r="H523" s="1">
        <f t="shared" si="17"/>
        <v>45817</v>
      </c>
      <c r="I523">
        <f t="shared" si="18"/>
        <v>24</v>
      </c>
    </row>
    <row r="524" spans="1:9" x14ac:dyDescent="0.2">
      <c r="A524">
        <v>20250609</v>
      </c>
      <c r="B524" t="s">
        <v>7</v>
      </c>
      <c r="C524" t="s">
        <v>13</v>
      </c>
      <c r="D524">
        <v>1</v>
      </c>
      <c r="E524">
        <v>1</v>
      </c>
      <c r="F524">
        <v>0</v>
      </c>
      <c r="G524">
        <v>0</v>
      </c>
      <c r="H524" s="1">
        <f t="shared" si="17"/>
        <v>45817</v>
      </c>
      <c r="I524">
        <f t="shared" si="18"/>
        <v>24</v>
      </c>
    </row>
    <row r="525" spans="1:9" x14ac:dyDescent="0.2">
      <c r="A525">
        <v>20250609</v>
      </c>
      <c r="B525" t="s">
        <v>9</v>
      </c>
      <c r="C525" t="s">
        <v>8</v>
      </c>
      <c r="D525">
        <v>13</v>
      </c>
      <c r="E525">
        <v>10.1538461538461</v>
      </c>
      <c r="F525">
        <v>0</v>
      </c>
      <c r="G525">
        <v>0</v>
      </c>
      <c r="H525" s="1">
        <f t="shared" si="17"/>
        <v>45817</v>
      </c>
      <c r="I525">
        <f t="shared" si="18"/>
        <v>24</v>
      </c>
    </row>
    <row r="526" spans="1:9" x14ac:dyDescent="0.2">
      <c r="A526">
        <v>20250609</v>
      </c>
      <c r="B526" t="s">
        <v>10</v>
      </c>
      <c r="C526" t="s">
        <v>11</v>
      </c>
      <c r="D526">
        <v>6</v>
      </c>
      <c r="E526">
        <v>83.3333333333333</v>
      </c>
      <c r="F526">
        <v>0</v>
      </c>
      <c r="G526">
        <v>0</v>
      </c>
      <c r="H526" s="1">
        <f t="shared" si="17"/>
        <v>45817</v>
      </c>
      <c r="I526">
        <f t="shared" si="18"/>
        <v>24</v>
      </c>
    </row>
    <row r="527" spans="1:9" x14ac:dyDescent="0.2">
      <c r="A527">
        <v>20250609</v>
      </c>
      <c r="B527" t="s">
        <v>10</v>
      </c>
      <c r="C527" t="s">
        <v>17</v>
      </c>
      <c r="D527">
        <v>1</v>
      </c>
      <c r="E527">
        <v>74</v>
      </c>
      <c r="F527">
        <v>0</v>
      </c>
      <c r="G527">
        <v>0</v>
      </c>
      <c r="H527" s="1">
        <f t="shared" si="17"/>
        <v>45817</v>
      </c>
      <c r="I527">
        <f t="shared" si="18"/>
        <v>24</v>
      </c>
    </row>
    <row r="528" spans="1:9" x14ac:dyDescent="0.2">
      <c r="A528">
        <v>20250610</v>
      </c>
      <c r="B528" t="s">
        <v>12</v>
      </c>
      <c r="C528" t="s">
        <v>8</v>
      </c>
      <c r="D528">
        <v>1</v>
      </c>
      <c r="E528">
        <v>30</v>
      </c>
      <c r="F528">
        <v>0</v>
      </c>
      <c r="G528">
        <v>0</v>
      </c>
      <c r="H528" s="1">
        <f t="shared" si="17"/>
        <v>45818</v>
      </c>
      <c r="I528">
        <f t="shared" si="18"/>
        <v>24</v>
      </c>
    </row>
    <row r="529" spans="1:9" x14ac:dyDescent="0.2">
      <c r="A529">
        <v>20250610</v>
      </c>
      <c r="B529" t="s">
        <v>7</v>
      </c>
      <c r="C529" t="s">
        <v>8</v>
      </c>
      <c r="D529">
        <v>25</v>
      </c>
      <c r="E529">
        <v>13.24</v>
      </c>
      <c r="F529">
        <v>0</v>
      </c>
      <c r="G529">
        <v>2</v>
      </c>
      <c r="H529" s="1">
        <f t="shared" si="17"/>
        <v>45818</v>
      </c>
      <c r="I529">
        <f t="shared" si="18"/>
        <v>24</v>
      </c>
    </row>
    <row r="530" spans="1:9" x14ac:dyDescent="0.2">
      <c r="A530">
        <v>20250610</v>
      </c>
      <c r="B530" t="s">
        <v>7</v>
      </c>
      <c r="C530" t="s">
        <v>24</v>
      </c>
      <c r="D530">
        <v>2</v>
      </c>
      <c r="E530">
        <v>17</v>
      </c>
      <c r="F530">
        <v>0</v>
      </c>
      <c r="G530">
        <v>0</v>
      </c>
      <c r="H530" s="1">
        <f t="shared" si="17"/>
        <v>45818</v>
      </c>
      <c r="I530">
        <f t="shared" si="18"/>
        <v>24</v>
      </c>
    </row>
    <row r="531" spans="1:9" x14ac:dyDescent="0.2">
      <c r="A531">
        <v>20250610</v>
      </c>
      <c r="B531" t="s">
        <v>14</v>
      </c>
      <c r="C531" t="s">
        <v>8</v>
      </c>
      <c r="D531">
        <v>2</v>
      </c>
      <c r="E531">
        <v>20</v>
      </c>
      <c r="F531">
        <v>0</v>
      </c>
      <c r="G531">
        <v>0</v>
      </c>
      <c r="H531" s="1">
        <f t="shared" si="17"/>
        <v>45818</v>
      </c>
      <c r="I531">
        <f t="shared" si="18"/>
        <v>24</v>
      </c>
    </row>
    <row r="532" spans="1:9" x14ac:dyDescent="0.2">
      <c r="A532">
        <v>20250610</v>
      </c>
      <c r="B532" t="s">
        <v>9</v>
      </c>
      <c r="C532" t="s">
        <v>8</v>
      </c>
      <c r="D532">
        <v>11</v>
      </c>
      <c r="E532">
        <v>16.181818181818102</v>
      </c>
      <c r="F532">
        <v>0</v>
      </c>
      <c r="G532">
        <v>0</v>
      </c>
      <c r="H532" s="1">
        <f t="shared" si="17"/>
        <v>45818</v>
      </c>
      <c r="I532">
        <f t="shared" si="18"/>
        <v>24</v>
      </c>
    </row>
    <row r="533" spans="1:9" x14ac:dyDescent="0.2">
      <c r="A533">
        <v>20250610</v>
      </c>
      <c r="B533" t="s">
        <v>9</v>
      </c>
      <c r="C533" t="s">
        <v>15</v>
      </c>
      <c r="D533">
        <v>3</v>
      </c>
      <c r="E533">
        <v>1</v>
      </c>
      <c r="F533">
        <v>0</v>
      </c>
      <c r="G533">
        <v>0</v>
      </c>
      <c r="H533" s="1">
        <f t="shared" si="17"/>
        <v>45818</v>
      </c>
      <c r="I533">
        <f t="shared" si="18"/>
        <v>24</v>
      </c>
    </row>
    <row r="534" spans="1:9" x14ac:dyDescent="0.2">
      <c r="A534">
        <v>20250610</v>
      </c>
      <c r="B534" t="s">
        <v>10</v>
      </c>
      <c r="C534" t="s">
        <v>11</v>
      </c>
      <c r="D534">
        <v>3</v>
      </c>
      <c r="E534">
        <v>76.6666666666666</v>
      </c>
      <c r="F534">
        <v>0</v>
      </c>
      <c r="G534">
        <v>0</v>
      </c>
      <c r="H534" s="1">
        <f t="shared" si="17"/>
        <v>45818</v>
      </c>
      <c r="I534">
        <f t="shared" si="18"/>
        <v>24</v>
      </c>
    </row>
    <row r="535" spans="1:9" x14ac:dyDescent="0.2">
      <c r="A535">
        <v>20250610</v>
      </c>
      <c r="B535" t="s">
        <v>10</v>
      </c>
      <c r="C535" t="s">
        <v>20</v>
      </c>
      <c r="D535">
        <v>1</v>
      </c>
      <c r="E535">
        <v>28</v>
      </c>
      <c r="F535">
        <v>0</v>
      </c>
      <c r="G535">
        <v>0</v>
      </c>
      <c r="H535" s="1">
        <f t="shared" si="17"/>
        <v>45818</v>
      </c>
      <c r="I535">
        <f t="shared" si="18"/>
        <v>24</v>
      </c>
    </row>
    <row r="536" spans="1:9" x14ac:dyDescent="0.2">
      <c r="A536">
        <v>20250611</v>
      </c>
      <c r="B536" t="s">
        <v>19</v>
      </c>
      <c r="C536" t="s">
        <v>8</v>
      </c>
      <c r="D536">
        <v>1</v>
      </c>
      <c r="E536">
        <v>45</v>
      </c>
      <c r="F536">
        <v>0</v>
      </c>
      <c r="G536">
        <v>0</v>
      </c>
      <c r="H536" s="1">
        <f t="shared" si="17"/>
        <v>45819</v>
      </c>
      <c r="I536">
        <f t="shared" si="18"/>
        <v>24</v>
      </c>
    </row>
    <row r="537" spans="1:9" x14ac:dyDescent="0.2">
      <c r="A537">
        <v>20250611</v>
      </c>
      <c r="B537" t="s">
        <v>12</v>
      </c>
      <c r="C537" t="s">
        <v>8</v>
      </c>
      <c r="D537">
        <v>2</v>
      </c>
      <c r="E537">
        <v>51</v>
      </c>
      <c r="F537">
        <v>0</v>
      </c>
      <c r="G537">
        <v>0</v>
      </c>
      <c r="H537" s="1">
        <f t="shared" si="17"/>
        <v>45819</v>
      </c>
      <c r="I537">
        <f t="shared" si="18"/>
        <v>24</v>
      </c>
    </row>
    <row r="538" spans="1:9" x14ac:dyDescent="0.2">
      <c r="A538">
        <v>20250611</v>
      </c>
      <c r="B538" t="s">
        <v>7</v>
      </c>
      <c r="C538" t="s">
        <v>8</v>
      </c>
      <c r="D538">
        <v>4</v>
      </c>
      <c r="E538">
        <v>9</v>
      </c>
      <c r="F538">
        <v>0</v>
      </c>
      <c r="G538">
        <v>0</v>
      </c>
      <c r="H538" s="1">
        <f t="shared" si="17"/>
        <v>45819</v>
      </c>
      <c r="I538">
        <f t="shared" si="18"/>
        <v>24</v>
      </c>
    </row>
    <row r="539" spans="1:9" x14ac:dyDescent="0.2">
      <c r="A539">
        <v>20250611</v>
      </c>
      <c r="B539" t="s">
        <v>9</v>
      </c>
      <c r="C539" t="s">
        <v>8</v>
      </c>
      <c r="D539">
        <v>11</v>
      </c>
      <c r="E539">
        <v>19.4545454545454</v>
      </c>
      <c r="F539">
        <v>0</v>
      </c>
      <c r="G539">
        <v>0</v>
      </c>
      <c r="H539" s="1">
        <f t="shared" si="17"/>
        <v>45819</v>
      </c>
      <c r="I539">
        <f t="shared" si="18"/>
        <v>24</v>
      </c>
    </row>
    <row r="540" spans="1:9" x14ac:dyDescent="0.2">
      <c r="A540">
        <v>20250611</v>
      </c>
      <c r="B540" t="s">
        <v>10</v>
      </c>
      <c r="C540" t="s">
        <v>11</v>
      </c>
      <c r="D540">
        <v>3</v>
      </c>
      <c r="E540">
        <v>74</v>
      </c>
      <c r="F540">
        <v>0</v>
      </c>
      <c r="G540">
        <v>0</v>
      </c>
      <c r="H540" s="1">
        <f t="shared" si="17"/>
        <v>45819</v>
      </c>
      <c r="I540">
        <f t="shared" si="18"/>
        <v>24</v>
      </c>
    </row>
    <row r="541" spans="1:9" x14ac:dyDescent="0.2">
      <c r="A541">
        <v>20250611</v>
      </c>
      <c r="B541" t="s">
        <v>10</v>
      </c>
      <c r="C541" t="s">
        <v>8</v>
      </c>
      <c r="D541">
        <v>2</v>
      </c>
      <c r="E541">
        <v>17.5</v>
      </c>
      <c r="F541">
        <v>0</v>
      </c>
      <c r="G541">
        <v>0</v>
      </c>
      <c r="H541" s="1">
        <f t="shared" si="17"/>
        <v>45819</v>
      </c>
      <c r="I541">
        <f t="shared" si="18"/>
        <v>24</v>
      </c>
    </row>
    <row r="542" spans="1:9" x14ac:dyDescent="0.2">
      <c r="A542">
        <v>20250612</v>
      </c>
      <c r="B542" t="s">
        <v>12</v>
      </c>
      <c r="C542" t="s">
        <v>8</v>
      </c>
      <c r="D542">
        <v>3</v>
      </c>
      <c r="E542">
        <v>9.6666666666666607</v>
      </c>
      <c r="F542">
        <v>0</v>
      </c>
      <c r="G542">
        <v>0</v>
      </c>
      <c r="H542" s="1">
        <f t="shared" si="17"/>
        <v>45820</v>
      </c>
      <c r="I542">
        <f t="shared" si="18"/>
        <v>24</v>
      </c>
    </row>
    <row r="543" spans="1:9" x14ac:dyDescent="0.2">
      <c r="A543">
        <v>20250612</v>
      </c>
      <c r="B543" t="s">
        <v>16</v>
      </c>
      <c r="C543" t="s">
        <v>13</v>
      </c>
      <c r="D543">
        <v>1</v>
      </c>
      <c r="E543">
        <v>1</v>
      </c>
      <c r="F543">
        <v>0</v>
      </c>
      <c r="G543">
        <v>0</v>
      </c>
      <c r="H543" s="1">
        <f t="shared" si="17"/>
        <v>45820</v>
      </c>
      <c r="I543">
        <f t="shared" si="18"/>
        <v>24</v>
      </c>
    </row>
    <row r="544" spans="1:9" x14ac:dyDescent="0.2">
      <c r="A544">
        <v>20250612</v>
      </c>
      <c r="B544" t="s">
        <v>16</v>
      </c>
      <c r="C544" t="s">
        <v>8</v>
      </c>
      <c r="D544">
        <v>1</v>
      </c>
      <c r="E544">
        <v>36</v>
      </c>
      <c r="F544">
        <v>0</v>
      </c>
      <c r="G544">
        <v>0</v>
      </c>
      <c r="H544" s="1">
        <f t="shared" si="17"/>
        <v>45820</v>
      </c>
      <c r="I544">
        <f t="shared" si="18"/>
        <v>24</v>
      </c>
    </row>
    <row r="545" spans="1:9" x14ac:dyDescent="0.2">
      <c r="A545">
        <v>20250612</v>
      </c>
      <c r="B545" t="s">
        <v>7</v>
      </c>
      <c r="C545" t="s">
        <v>8</v>
      </c>
      <c r="D545">
        <v>12</v>
      </c>
      <c r="E545">
        <v>7.5833333333333304</v>
      </c>
      <c r="F545">
        <v>0</v>
      </c>
      <c r="G545">
        <v>2</v>
      </c>
      <c r="H545" s="1">
        <f t="shared" si="17"/>
        <v>45820</v>
      </c>
      <c r="I545">
        <f t="shared" si="18"/>
        <v>24</v>
      </c>
    </row>
    <row r="546" spans="1:9" x14ac:dyDescent="0.2">
      <c r="A546">
        <v>20250612</v>
      </c>
      <c r="B546" t="s">
        <v>23</v>
      </c>
      <c r="C546" t="s">
        <v>8</v>
      </c>
      <c r="D546">
        <v>1</v>
      </c>
      <c r="E546">
        <v>28</v>
      </c>
      <c r="F546">
        <v>0</v>
      </c>
      <c r="G546">
        <v>0</v>
      </c>
      <c r="H546" s="1">
        <f t="shared" si="17"/>
        <v>45820</v>
      </c>
      <c r="I546">
        <f t="shared" si="18"/>
        <v>24</v>
      </c>
    </row>
    <row r="547" spans="1:9" x14ac:dyDescent="0.2">
      <c r="A547">
        <v>20250612</v>
      </c>
      <c r="B547" t="s">
        <v>9</v>
      </c>
      <c r="C547" t="s">
        <v>8</v>
      </c>
      <c r="D547">
        <v>17</v>
      </c>
      <c r="E547">
        <v>11.176470588235199</v>
      </c>
      <c r="F547">
        <v>0</v>
      </c>
      <c r="G547">
        <v>0</v>
      </c>
      <c r="H547" s="1">
        <f t="shared" si="17"/>
        <v>45820</v>
      </c>
      <c r="I547">
        <f t="shared" si="18"/>
        <v>24</v>
      </c>
    </row>
    <row r="548" spans="1:9" x14ac:dyDescent="0.2">
      <c r="A548">
        <v>20250612</v>
      </c>
      <c r="B548" t="s">
        <v>9</v>
      </c>
      <c r="C548" t="s">
        <v>13</v>
      </c>
      <c r="D548">
        <v>4</v>
      </c>
      <c r="E548">
        <v>1</v>
      </c>
      <c r="F548">
        <v>0</v>
      </c>
      <c r="G548">
        <v>0</v>
      </c>
      <c r="H548" s="1">
        <f t="shared" si="17"/>
        <v>45820</v>
      </c>
      <c r="I548">
        <f t="shared" si="18"/>
        <v>24</v>
      </c>
    </row>
    <row r="549" spans="1:9" x14ac:dyDescent="0.2">
      <c r="A549">
        <v>20250612</v>
      </c>
      <c r="B549" t="s">
        <v>9</v>
      </c>
      <c r="C549" t="s">
        <v>15</v>
      </c>
      <c r="D549">
        <v>1</v>
      </c>
      <c r="E549">
        <v>32</v>
      </c>
      <c r="F549">
        <v>0</v>
      </c>
      <c r="G549">
        <v>0</v>
      </c>
      <c r="H549" s="1">
        <f t="shared" si="17"/>
        <v>45820</v>
      </c>
      <c r="I549">
        <f t="shared" si="18"/>
        <v>24</v>
      </c>
    </row>
    <row r="550" spans="1:9" x14ac:dyDescent="0.2">
      <c r="A550">
        <v>20250612</v>
      </c>
      <c r="B550" t="s">
        <v>10</v>
      </c>
      <c r="C550" t="s">
        <v>11</v>
      </c>
      <c r="D550">
        <v>2</v>
      </c>
      <c r="E550">
        <v>85</v>
      </c>
      <c r="F550">
        <v>0</v>
      </c>
      <c r="G550">
        <v>1</v>
      </c>
      <c r="H550" s="1">
        <f t="shared" si="17"/>
        <v>45820</v>
      </c>
      <c r="I550">
        <f t="shared" si="18"/>
        <v>24</v>
      </c>
    </row>
    <row r="551" spans="1:9" x14ac:dyDescent="0.2">
      <c r="A551">
        <v>20250612</v>
      </c>
      <c r="B551" t="s">
        <v>10</v>
      </c>
      <c r="C551" t="s">
        <v>24</v>
      </c>
      <c r="D551">
        <v>1</v>
      </c>
      <c r="E551">
        <v>7</v>
      </c>
      <c r="F551">
        <v>0</v>
      </c>
      <c r="G551">
        <v>2</v>
      </c>
      <c r="H551" s="1">
        <f t="shared" si="17"/>
        <v>45820</v>
      </c>
      <c r="I551">
        <f t="shared" si="18"/>
        <v>24</v>
      </c>
    </row>
    <row r="552" spans="1:9" x14ac:dyDescent="0.2">
      <c r="A552">
        <v>20250613</v>
      </c>
      <c r="B552" t="s">
        <v>12</v>
      </c>
      <c r="C552" t="s">
        <v>8</v>
      </c>
      <c r="D552">
        <v>5</v>
      </c>
      <c r="E552">
        <v>13</v>
      </c>
      <c r="F552">
        <v>0</v>
      </c>
      <c r="G552">
        <v>0</v>
      </c>
      <c r="H552" s="1">
        <f t="shared" si="17"/>
        <v>45821</v>
      </c>
      <c r="I552">
        <f t="shared" si="18"/>
        <v>24</v>
      </c>
    </row>
    <row r="553" spans="1:9" x14ac:dyDescent="0.2">
      <c r="A553">
        <v>20250613</v>
      </c>
      <c r="B553" t="s">
        <v>7</v>
      </c>
      <c r="C553" t="s">
        <v>8</v>
      </c>
      <c r="D553">
        <v>6</v>
      </c>
      <c r="E553">
        <v>12.3333333333333</v>
      </c>
      <c r="F553">
        <v>0</v>
      </c>
      <c r="G553">
        <v>0</v>
      </c>
      <c r="H553" s="1">
        <f t="shared" si="17"/>
        <v>45821</v>
      </c>
      <c r="I553">
        <f t="shared" si="18"/>
        <v>24</v>
      </c>
    </row>
    <row r="554" spans="1:9" x14ac:dyDescent="0.2">
      <c r="A554">
        <v>20250613</v>
      </c>
      <c r="B554" t="s">
        <v>23</v>
      </c>
      <c r="C554" t="s">
        <v>8</v>
      </c>
      <c r="D554">
        <v>3</v>
      </c>
      <c r="E554">
        <v>22</v>
      </c>
      <c r="F554">
        <v>0</v>
      </c>
      <c r="G554">
        <v>0</v>
      </c>
      <c r="H554" s="1">
        <f t="shared" si="17"/>
        <v>45821</v>
      </c>
      <c r="I554">
        <f t="shared" si="18"/>
        <v>24</v>
      </c>
    </row>
    <row r="555" spans="1:9" x14ac:dyDescent="0.2">
      <c r="A555">
        <v>20250613</v>
      </c>
      <c r="B555" t="s">
        <v>14</v>
      </c>
      <c r="C555" t="s">
        <v>8</v>
      </c>
      <c r="D555">
        <v>1</v>
      </c>
      <c r="E555">
        <v>18</v>
      </c>
      <c r="F555">
        <v>0</v>
      </c>
      <c r="G555">
        <v>0</v>
      </c>
      <c r="H555" s="1">
        <f t="shared" si="17"/>
        <v>45821</v>
      </c>
      <c r="I555">
        <f t="shared" si="18"/>
        <v>24</v>
      </c>
    </row>
    <row r="556" spans="1:9" x14ac:dyDescent="0.2">
      <c r="A556">
        <v>20250613</v>
      </c>
      <c r="B556" t="s">
        <v>9</v>
      </c>
      <c r="C556" t="s">
        <v>8</v>
      </c>
      <c r="D556">
        <v>11</v>
      </c>
      <c r="E556">
        <v>31.636363636363601</v>
      </c>
      <c r="F556">
        <v>0</v>
      </c>
      <c r="G556">
        <v>0</v>
      </c>
      <c r="H556" s="1">
        <f t="shared" si="17"/>
        <v>45821</v>
      </c>
      <c r="I556">
        <f t="shared" si="18"/>
        <v>24</v>
      </c>
    </row>
    <row r="557" spans="1:9" x14ac:dyDescent="0.2">
      <c r="A557">
        <v>20250613</v>
      </c>
      <c r="B557" t="s">
        <v>9</v>
      </c>
      <c r="C557" t="s">
        <v>15</v>
      </c>
      <c r="D557">
        <v>3</v>
      </c>
      <c r="E557">
        <v>41</v>
      </c>
      <c r="F557">
        <v>0</v>
      </c>
      <c r="G557">
        <v>0</v>
      </c>
      <c r="H557" s="1">
        <f t="shared" si="17"/>
        <v>45821</v>
      </c>
      <c r="I557">
        <f t="shared" si="18"/>
        <v>24</v>
      </c>
    </row>
    <row r="558" spans="1:9" x14ac:dyDescent="0.2">
      <c r="A558">
        <v>20250613</v>
      </c>
      <c r="B558" t="s">
        <v>10</v>
      </c>
      <c r="C558" t="s">
        <v>11</v>
      </c>
      <c r="D558">
        <v>4</v>
      </c>
      <c r="E558">
        <v>79.5</v>
      </c>
      <c r="F558">
        <v>0</v>
      </c>
      <c r="G558">
        <v>0</v>
      </c>
      <c r="H558" s="1">
        <f t="shared" si="17"/>
        <v>45821</v>
      </c>
      <c r="I558">
        <f t="shared" si="18"/>
        <v>24</v>
      </c>
    </row>
    <row r="559" spans="1:9" x14ac:dyDescent="0.2">
      <c r="A559">
        <v>20250613</v>
      </c>
      <c r="B559" t="s">
        <v>10</v>
      </c>
      <c r="C559" t="s">
        <v>8</v>
      </c>
      <c r="D559">
        <v>1</v>
      </c>
      <c r="E559">
        <v>34</v>
      </c>
      <c r="F559">
        <v>0</v>
      </c>
      <c r="G559">
        <v>0</v>
      </c>
      <c r="H559" s="1">
        <f t="shared" si="17"/>
        <v>45821</v>
      </c>
      <c r="I559">
        <f t="shared" si="18"/>
        <v>24</v>
      </c>
    </row>
    <row r="560" spans="1:9" x14ac:dyDescent="0.2">
      <c r="A560">
        <v>20250614</v>
      </c>
      <c r="B560" t="s">
        <v>12</v>
      </c>
      <c r="C560" t="s">
        <v>8</v>
      </c>
      <c r="D560">
        <v>5</v>
      </c>
      <c r="E560">
        <v>26.4</v>
      </c>
      <c r="F560">
        <v>0</v>
      </c>
      <c r="G560">
        <v>0</v>
      </c>
      <c r="H560" s="1">
        <f t="shared" si="17"/>
        <v>45822</v>
      </c>
      <c r="I560">
        <f t="shared" si="18"/>
        <v>24</v>
      </c>
    </row>
    <row r="561" spans="1:9" x14ac:dyDescent="0.2">
      <c r="A561">
        <v>20250614</v>
      </c>
      <c r="B561" t="s">
        <v>16</v>
      </c>
      <c r="C561" t="s">
        <v>8</v>
      </c>
      <c r="D561">
        <v>3</v>
      </c>
      <c r="E561">
        <v>18</v>
      </c>
      <c r="F561">
        <v>0</v>
      </c>
      <c r="G561">
        <v>0</v>
      </c>
      <c r="H561" s="1">
        <f t="shared" si="17"/>
        <v>45822</v>
      </c>
      <c r="I561">
        <f t="shared" si="18"/>
        <v>24</v>
      </c>
    </row>
    <row r="562" spans="1:9" x14ac:dyDescent="0.2">
      <c r="A562">
        <v>20250614</v>
      </c>
      <c r="B562" t="s">
        <v>7</v>
      </c>
      <c r="C562" t="s">
        <v>8</v>
      </c>
      <c r="D562">
        <v>11</v>
      </c>
      <c r="E562">
        <v>8.7272727272727195</v>
      </c>
      <c r="F562">
        <v>0</v>
      </c>
      <c r="G562">
        <v>0</v>
      </c>
      <c r="H562" s="1">
        <f t="shared" si="17"/>
        <v>45822</v>
      </c>
      <c r="I562">
        <f t="shared" si="18"/>
        <v>24</v>
      </c>
    </row>
    <row r="563" spans="1:9" x14ac:dyDescent="0.2">
      <c r="A563">
        <v>20250614</v>
      </c>
      <c r="B563" t="s">
        <v>23</v>
      </c>
      <c r="C563" t="s">
        <v>13</v>
      </c>
      <c r="D563">
        <v>1</v>
      </c>
      <c r="E563">
        <v>1</v>
      </c>
      <c r="F563">
        <v>0</v>
      </c>
      <c r="G563">
        <v>0</v>
      </c>
      <c r="H563" s="1">
        <f t="shared" si="17"/>
        <v>45822</v>
      </c>
      <c r="I563">
        <f t="shared" si="18"/>
        <v>24</v>
      </c>
    </row>
    <row r="564" spans="1:9" x14ac:dyDescent="0.2">
      <c r="A564">
        <v>20250614</v>
      </c>
      <c r="B564" t="s">
        <v>9</v>
      </c>
      <c r="C564" t="s">
        <v>8</v>
      </c>
      <c r="D564">
        <v>13</v>
      </c>
      <c r="E564">
        <v>13.076923076923</v>
      </c>
      <c r="F564">
        <v>0</v>
      </c>
      <c r="G564">
        <v>0</v>
      </c>
      <c r="H564" s="1">
        <f t="shared" si="17"/>
        <v>45822</v>
      </c>
      <c r="I564">
        <f t="shared" si="18"/>
        <v>24</v>
      </c>
    </row>
    <row r="565" spans="1:9" x14ac:dyDescent="0.2">
      <c r="A565">
        <v>20250614</v>
      </c>
      <c r="B565" t="s">
        <v>10</v>
      </c>
      <c r="C565" t="s">
        <v>11</v>
      </c>
      <c r="D565">
        <v>3</v>
      </c>
      <c r="E565">
        <v>75</v>
      </c>
      <c r="F565">
        <v>0</v>
      </c>
      <c r="G565">
        <v>0</v>
      </c>
      <c r="H565" s="1">
        <f t="shared" si="17"/>
        <v>45822</v>
      </c>
      <c r="I565">
        <f t="shared" si="18"/>
        <v>24</v>
      </c>
    </row>
    <row r="566" spans="1:9" x14ac:dyDescent="0.2">
      <c r="A566">
        <v>20250614</v>
      </c>
      <c r="B566" t="s">
        <v>10</v>
      </c>
      <c r="C566" t="s">
        <v>8</v>
      </c>
      <c r="D566">
        <v>3</v>
      </c>
      <c r="E566">
        <v>33.3333333333333</v>
      </c>
      <c r="F566">
        <v>0</v>
      </c>
      <c r="G566">
        <v>0</v>
      </c>
      <c r="H566" s="1">
        <f t="shared" si="17"/>
        <v>45822</v>
      </c>
      <c r="I566">
        <f t="shared" si="18"/>
        <v>24</v>
      </c>
    </row>
    <row r="567" spans="1:9" x14ac:dyDescent="0.2">
      <c r="A567">
        <v>20250615</v>
      </c>
      <c r="B567" t="s">
        <v>12</v>
      </c>
      <c r="C567" t="s">
        <v>8</v>
      </c>
      <c r="D567">
        <v>10</v>
      </c>
      <c r="E567">
        <v>21.5</v>
      </c>
      <c r="F567">
        <v>0</v>
      </c>
      <c r="G567">
        <v>0</v>
      </c>
      <c r="H567" s="1">
        <f t="shared" si="17"/>
        <v>45823</v>
      </c>
      <c r="I567">
        <f t="shared" si="18"/>
        <v>25</v>
      </c>
    </row>
    <row r="568" spans="1:9" x14ac:dyDescent="0.2">
      <c r="A568">
        <v>20250615</v>
      </c>
      <c r="B568" t="s">
        <v>7</v>
      </c>
      <c r="C568" t="s">
        <v>8</v>
      </c>
      <c r="D568">
        <v>6</v>
      </c>
      <c r="E568">
        <v>6.5</v>
      </c>
      <c r="F568">
        <v>0</v>
      </c>
      <c r="G568">
        <v>0</v>
      </c>
      <c r="H568" s="1">
        <f t="shared" si="17"/>
        <v>45823</v>
      </c>
      <c r="I568">
        <f t="shared" si="18"/>
        <v>25</v>
      </c>
    </row>
    <row r="569" spans="1:9" x14ac:dyDescent="0.2">
      <c r="A569">
        <v>20250615</v>
      </c>
      <c r="B569" t="s">
        <v>14</v>
      </c>
      <c r="C569" t="s">
        <v>8</v>
      </c>
      <c r="D569">
        <v>4</v>
      </c>
      <c r="E569">
        <v>20</v>
      </c>
      <c r="F569">
        <v>0</v>
      </c>
      <c r="G569">
        <v>0</v>
      </c>
      <c r="H569" s="1">
        <f t="shared" si="17"/>
        <v>45823</v>
      </c>
      <c r="I569">
        <f t="shared" si="18"/>
        <v>25</v>
      </c>
    </row>
    <row r="570" spans="1:9" x14ac:dyDescent="0.2">
      <c r="A570">
        <v>20250615</v>
      </c>
      <c r="B570" t="s">
        <v>9</v>
      </c>
      <c r="C570" t="s">
        <v>8</v>
      </c>
      <c r="D570">
        <v>19</v>
      </c>
      <c r="E570">
        <v>12.5263157894736</v>
      </c>
      <c r="F570">
        <v>0</v>
      </c>
      <c r="G570">
        <v>0</v>
      </c>
      <c r="H570" s="1">
        <f t="shared" si="17"/>
        <v>45823</v>
      </c>
      <c r="I570">
        <f t="shared" si="18"/>
        <v>25</v>
      </c>
    </row>
    <row r="571" spans="1:9" x14ac:dyDescent="0.2">
      <c r="A571">
        <v>20250615</v>
      </c>
      <c r="B571" t="s">
        <v>10</v>
      </c>
      <c r="C571" t="s">
        <v>11</v>
      </c>
      <c r="D571">
        <v>3</v>
      </c>
      <c r="E571">
        <v>82</v>
      </c>
      <c r="F571">
        <v>0</v>
      </c>
      <c r="G571">
        <v>0</v>
      </c>
      <c r="H571" s="1">
        <f t="shared" si="17"/>
        <v>45823</v>
      </c>
      <c r="I571">
        <f t="shared" si="18"/>
        <v>25</v>
      </c>
    </row>
    <row r="572" spans="1:9" x14ac:dyDescent="0.2">
      <c r="A572">
        <v>20250615</v>
      </c>
      <c r="B572" t="s">
        <v>10</v>
      </c>
      <c r="C572" t="s">
        <v>8</v>
      </c>
      <c r="D572">
        <v>2</v>
      </c>
      <c r="E572">
        <v>23</v>
      </c>
      <c r="F572">
        <v>0</v>
      </c>
      <c r="G572">
        <v>0</v>
      </c>
      <c r="H572" s="1">
        <f t="shared" si="17"/>
        <v>45823</v>
      </c>
      <c r="I572">
        <f t="shared" si="18"/>
        <v>25</v>
      </c>
    </row>
    <row r="573" spans="1:9" x14ac:dyDescent="0.2">
      <c r="A573">
        <v>20250616</v>
      </c>
      <c r="B573" t="s">
        <v>12</v>
      </c>
      <c r="C573" t="s">
        <v>8</v>
      </c>
      <c r="D573">
        <v>3</v>
      </c>
      <c r="E573">
        <v>11</v>
      </c>
      <c r="F573">
        <v>0</v>
      </c>
      <c r="G573">
        <v>0</v>
      </c>
      <c r="H573" s="1">
        <f t="shared" si="17"/>
        <v>45824</v>
      </c>
      <c r="I573">
        <f t="shared" si="18"/>
        <v>25</v>
      </c>
    </row>
    <row r="574" spans="1:9" x14ac:dyDescent="0.2">
      <c r="A574">
        <v>20250616</v>
      </c>
      <c r="B574" t="s">
        <v>7</v>
      </c>
      <c r="C574" t="s">
        <v>8</v>
      </c>
      <c r="D574">
        <v>13</v>
      </c>
      <c r="E574">
        <v>9</v>
      </c>
      <c r="F574">
        <v>0</v>
      </c>
      <c r="G574">
        <v>0</v>
      </c>
      <c r="H574" s="1">
        <f t="shared" si="17"/>
        <v>45824</v>
      </c>
      <c r="I574">
        <f t="shared" si="18"/>
        <v>25</v>
      </c>
    </row>
    <row r="575" spans="1:9" x14ac:dyDescent="0.2">
      <c r="A575">
        <v>20250616</v>
      </c>
      <c r="B575" t="s">
        <v>14</v>
      </c>
      <c r="C575" t="s">
        <v>8</v>
      </c>
      <c r="D575">
        <v>1</v>
      </c>
      <c r="E575">
        <v>23</v>
      </c>
      <c r="F575">
        <v>0</v>
      </c>
      <c r="G575">
        <v>0</v>
      </c>
      <c r="H575" s="1">
        <f t="shared" si="17"/>
        <v>45824</v>
      </c>
      <c r="I575">
        <f t="shared" si="18"/>
        <v>25</v>
      </c>
    </row>
    <row r="576" spans="1:9" x14ac:dyDescent="0.2">
      <c r="A576">
        <v>20250616</v>
      </c>
      <c r="B576" t="s">
        <v>9</v>
      </c>
      <c r="C576" t="s">
        <v>8</v>
      </c>
      <c r="D576">
        <v>21</v>
      </c>
      <c r="E576">
        <v>13.523809523809501</v>
      </c>
      <c r="F576">
        <v>0</v>
      </c>
      <c r="G576">
        <v>0</v>
      </c>
      <c r="H576" s="1">
        <f t="shared" si="17"/>
        <v>45824</v>
      </c>
      <c r="I576">
        <f t="shared" si="18"/>
        <v>25</v>
      </c>
    </row>
    <row r="577" spans="1:9" x14ac:dyDescent="0.2">
      <c r="A577">
        <v>20250616</v>
      </c>
      <c r="B577" t="s">
        <v>10</v>
      </c>
      <c r="C577" t="s">
        <v>11</v>
      </c>
      <c r="D577">
        <v>5</v>
      </c>
      <c r="E577">
        <v>84.8</v>
      </c>
      <c r="F577">
        <v>0</v>
      </c>
      <c r="G577">
        <v>0</v>
      </c>
      <c r="H577" s="1">
        <f t="shared" si="17"/>
        <v>45824</v>
      </c>
      <c r="I577">
        <f t="shared" si="18"/>
        <v>25</v>
      </c>
    </row>
    <row r="578" spans="1:9" x14ac:dyDescent="0.2">
      <c r="A578">
        <v>20250616</v>
      </c>
      <c r="B578" t="s">
        <v>10</v>
      </c>
      <c r="C578" t="s">
        <v>8</v>
      </c>
      <c r="D578">
        <v>1</v>
      </c>
      <c r="E578">
        <v>30</v>
      </c>
      <c r="F578">
        <v>0</v>
      </c>
      <c r="G578">
        <v>0</v>
      </c>
      <c r="H578" s="1">
        <f t="shared" ref="H578:H599" si="19">DATE(LEFT(A578,4),MID(A578,5,2),RIGHT(A578,2))</f>
        <v>45824</v>
      </c>
      <c r="I578">
        <f t="shared" ref="I578:I641" si="20">WEEKNUM(H578)</f>
        <v>25</v>
      </c>
    </row>
    <row r="579" spans="1:9" x14ac:dyDescent="0.2">
      <c r="A579">
        <v>20250617</v>
      </c>
      <c r="B579" t="s">
        <v>12</v>
      </c>
      <c r="C579" t="s">
        <v>8</v>
      </c>
      <c r="D579">
        <v>6</v>
      </c>
      <c r="E579">
        <v>22.1666666666666</v>
      </c>
      <c r="F579">
        <v>0</v>
      </c>
      <c r="G579">
        <v>0</v>
      </c>
      <c r="H579" s="1">
        <f t="shared" si="19"/>
        <v>45825</v>
      </c>
      <c r="I579">
        <f t="shared" si="20"/>
        <v>25</v>
      </c>
    </row>
    <row r="580" spans="1:9" x14ac:dyDescent="0.2">
      <c r="A580">
        <v>20250617</v>
      </c>
      <c r="B580" t="s">
        <v>7</v>
      </c>
      <c r="C580" t="s">
        <v>8</v>
      </c>
      <c r="D580">
        <v>6</v>
      </c>
      <c r="E580">
        <v>11.5</v>
      </c>
      <c r="F580">
        <v>0</v>
      </c>
      <c r="G580">
        <v>0</v>
      </c>
      <c r="H580" s="1">
        <f t="shared" si="19"/>
        <v>45825</v>
      </c>
      <c r="I580">
        <f t="shared" si="20"/>
        <v>25</v>
      </c>
    </row>
    <row r="581" spans="1:9" x14ac:dyDescent="0.2">
      <c r="A581">
        <v>20250617</v>
      </c>
      <c r="B581" t="s">
        <v>9</v>
      </c>
      <c r="C581" t="s">
        <v>8</v>
      </c>
      <c r="D581">
        <v>27</v>
      </c>
      <c r="E581">
        <v>15.148148148148101</v>
      </c>
      <c r="F581">
        <v>0</v>
      </c>
      <c r="G581">
        <v>0</v>
      </c>
      <c r="H581" s="1">
        <f t="shared" si="19"/>
        <v>45825</v>
      </c>
      <c r="I581">
        <f t="shared" si="20"/>
        <v>25</v>
      </c>
    </row>
    <row r="582" spans="1:9" x14ac:dyDescent="0.2">
      <c r="A582">
        <v>20250617</v>
      </c>
      <c r="B582" t="s">
        <v>10</v>
      </c>
      <c r="C582" t="s">
        <v>11</v>
      </c>
      <c r="D582">
        <v>2</v>
      </c>
      <c r="E582">
        <v>83.5</v>
      </c>
      <c r="F582">
        <v>0</v>
      </c>
      <c r="G582">
        <v>0</v>
      </c>
      <c r="H582" s="1">
        <f t="shared" si="19"/>
        <v>45825</v>
      </c>
      <c r="I582">
        <f t="shared" si="20"/>
        <v>25</v>
      </c>
    </row>
    <row r="583" spans="1:9" x14ac:dyDescent="0.2">
      <c r="A583">
        <v>20250617</v>
      </c>
      <c r="B583" t="s">
        <v>10</v>
      </c>
      <c r="C583" t="s">
        <v>8</v>
      </c>
      <c r="D583">
        <v>1</v>
      </c>
      <c r="E583">
        <v>38</v>
      </c>
      <c r="F583">
        <v>0</v>
      </c>
      <c r="G583">
        <v>0</v>
      </c>
      <c r="H583" s="1">
        <f t="shared" si="19"/>
        <v>45825</v>
      </c>
      <c r="I583">
        <f t="shared" si="20"/>
        <v>25</v>
      </c>
    </row>
    <row r="584" spans="1:9" x14ac:dyDescent="0.2">
      <c r="A584">
        <v>20250617</v>
      </c>
      <c r="B584" t="s">
        <v>10</v>
      </c>
      <c r="C584" t="s">
        <v>21</v>
      </c>
      <c r="D584">
        <v>1</v>
      </c>
      <c r="E584">
        <v>45</v>
      </c>
      <c r="F584">
        <v>0</v>
      </c>
      <c r="G584">
        <v>0</v>
      </c>
      <c r="H584" s="1">
        <f t="shared" si="19"/>
        <v>45825</v>
      </c>
      <c r="I584">
        <f t="shared" si="20"/>
        <v>25</v>
      </c>
    </row>
    <row r="585" spans="1:9" x14ac:dyDescent="0.2">
      <c r="A585">
        <v>20250618</v>
      </c>
      <c r="B585" t="s">
        <v>12</v>
      </c>
      <c r="C585" t="s">
        <v>8</v>
      </c>
      <c r="D585">
        <v>9</v>
      </c>
      <c r="E585">
        <v>21.6666666666666</v>
      </c>
      <c r="F585">
        <v>0</v>
      </c>
      <c r="G585">
        <v>0</v>
      </c>
      <c r="H585" s="1">
        <f t="shared" si="19"/>
        <v>45826</v>
      </c>
      <c r="I585">
        <f t="shared" si="20"/>
        <v>25</v>
      </c>
    </row>
    <row r="586" spans="1:9" x14ac:dyDescent="0.2">
      <c r="A586">
        <v>20250618</v>
      </c>
      <c r="B586" t="s">
        <v>7</v>
      </c>
      <c r="C586" t="s">
        <v>8</v>
      </c>
      <c r="D586">
        <v>7</v>
      </c>
      <c r="E586">
        <v>7.71428571428571</v>
      </c>
      <c r="F586">
        <v>0</v>
      </c>
      <c r="G586">
        <v>0</v>
      </c>
      <c r="H586" s="1">
        <f t="shared" si="19"/>
        <v>45826</v>
      </c>
      <c r="I586">
        <f t="shared" si="20"/>
        <v>25</v>
      </c>
    </row>
    <row r="587" spans="1:9" x14ac:dyDescent="0.2">
      <c r="A587">
        <v>20250618</v>
      </c>
      <c r="B587" t="s">
        <v>9</v>
      </c>
      <c r="C587" t="s">
        <v>8</v>
      </c>
      <c r="D587">
        <v>26</v>
      </c>
      <c r="E587">
        <v>15.615384615384601</v>
      </c>
      <c r="F587">
        <v>0</v>
      </c>
      <c r="G587">
        <v>0</v>
      </c>
      <c r="H587" s="1">
        <f t="shared" si="19"/>
        <v>45826</v>
      </c>
      <c r="I587">
        <f t="shared" si="20"/>
        <v>25</v>
      </c>
    </row>
    <row r="588" spans="1:9" x14ac:dyDescent="0.2">
      <c r="A588">
        <v>20250618</v>
      </c>
      <c r="B588" t="s">
        <v>9</v>
      </c>
      <c r="C588" t="s">
        <v>26</v>
      </c>
      <c r="D588">
        <v>1</v>
      </c>
      <c r="E588">
        <v>1</v>
      </c>
      <c r="F588">
        <v>0</v>
      </c>
      <c r="G588">
        <v>0</v>
      </c>
      <c r="H588" s="1">
        <f t="shared" si="19"/>
        <v>45826</v>
      </c>
      <c r="I588">
        <f t="shared" si="20"/>
        <v>25</v>
      </c>
    </row>
    <row r="589" spans="1:9" x14ac:dyDescent="0.2">
      <c r="A589">
        <v>20250618</v>
      </c>
      <c r="B589" t="s">
        <v>10</v>
      </c>
      <c r="C589" t="s">
        <v>11</v>
      </c>
      <c r="D589">
        <v>4</v>
      </c>
      <c r="E589">
        <v>63.25</v>
      </c>
      <c r="F589">
        <v>0</v>
      </c>
      <c r="G589">
        <v>0</v>
      </c>
      <c r="H589" s="1">
        <f t="shared" si="19"/>
        <v>45826</v>
      </c>
      <c r="I589">
        <f t="shared" si="20"/>
        <v>25</v>
      </c>
    </row>
    <row r="590" spans="1:9" x14ac:dyDescent="0.2">
      <c r="A590">
        <v>20250618</v>
      </c>
      <c r="B590" t="s">
        <v>10</v>
      </c>
      <c r="C590" t="s">
        <v>8</v>
      </c>
      <c r="D590">
        <v>1</v>
      </c>
      <c r="E590">
        <v>33</v>
      </c>
      <c r="F590">
        <v>0</v>
      </c>
      <c r="G590">
        <v>0</v>
      </c>
      <c r="H590" s="1">
        <f t="shared" si="19"/>
        <v>45826</v>
      </c>
      <c r="I590">
        <f t="shared" si="20"/>
        <v>25</v>
      </c>
    </row>
    <row r="591" spans="1:9" x14ac:dyDescent="0.2">
      <c r="A591">
        <v>20250619</v>
      </c>
      <c r="B591" t="s">
        <v>12</v>
      </c>
      <c r="C591" t="s">
        <v>21</v>
      </c>
      <c r="D591">
        <v>1</v>
      </c>
      <c r="E591">
        <v>36</v>
      </c>
      <c r="F591">
        <v>0</v>
      </c>
      <c r="G591">
        <v>1</v>
      </c>
      <c r="H591" s="1">
        <f t="shared" si="19"/>
        <v>45827</v>
      </c>
      <c r="I591">
        <f t="shared" si="20"/>
        <v>25</v>
      </c>
    </row>
    <row r="592" spans="1:9" x14ac:dyDescent="0.2">
      <c r="A592">
        <v>20250619</v>
      </c>
      <c r="B592" t="s">
        <v>10</v>
      </c>
      <c r="C592" t="s">
        <v>11</v>
      </c>
      <c r="D592">
        <v>6</v>
      </c>
      <c r="E592">
        <v>48.6666666666666</v>
      </c>
      <c r="F592">
        <v>0</v>
      </c>
      <c r="G592">
        <v>0</v>
      </c>
      <c r="H592" s="1">
        <f t="shared" si="19"/>
        <v>45827</v>
      </c>
      <c r="I592">
        <f t="shared" si="20"/>
        <v>25</v>
      </c>
    </row>
    <row r="593" spans="1:9" x14ac:dyDescent="0.2">
      <c r="A593">
        <v>20250619</v>
      </c>
      <c r="B593" t="s">
        <v>10</v>
      </c>
      <c r="C593" t="s">
        <v>13</v>
      </c>
      <c r="D593">
        <v>1</v>
      </c>
      <c r="E593">
        <v>1</v>
      </c>
      <c r="F593">
        <v>0</v>
      </c>
      <c r="G593">
        <v>0</v>
      </c>
      <c r="H593" s="1">
        <f t="shared" si="19"/>
        <v>45827</v>
      </c>
      <c r="I593">
        <f t="shared" si="20"/>
        <v>25</v>
      </c>
    </row>
    <row r="594" spans="1:9" x14ac:dyDescent="0.2">
      <c r="A594">
        <v>20250620</v>
      </c>
      <c r="B594" t="s">
        <v>7</v>
      </c>
      <c r="C594" t="s">
        <v>28</v>
      </c>
      <c r="D594">
        <v>2</v>
      </c>
      <c r="E594">
        <v>26.5</v>
      </c>
      <c r="F594">
        <v>0</v>
      </c>
      <c r="G594">
        <v>0</v>
      </c>
      <c r="H594" s="1">
        <f t="shared" si="19"/>
        <v>45828</v>
      </c>
      <c r="I594">
        <f t="shared" si="20"/>
        <v>25</v>
      </c>
    </row>
    <row r="595" spans="1:9" x14ac:dyDescent="0.2">
      <c r="A595">
        <v>20250620</v>
      </c>
      <c r="B595" t="s">
        <v>7</v>
      </c>
      <c r="C595" t="s">
        <v>26</v>
      </c>
      <c r="D595">
        <v>1</v>
      </c>
      <c r="E595">
        <v>54</v>
      </c>
      <c r="F595">
        <v>0</v>
      </c>
      <c r="G595">
        <v>2</v>
      </c>
      <c r="H595" s="1">
        <f t="shared" si="19"/>
        <v>45828</v>
      </c>
      <c r="I595">
        <f t="shared" si="20"/>
        <v>25</v>
      </c>
    </row>
    <row r="596" spans="1:9" x14ac:dyDescent="0.2">
      <c r="A596">
        <v>20250620</v>
      </c>
      <c r="B596" t="s">
        <v>10</v>
      </c>
      <c r="C596" t="s">
        <v>11</v>
      </c>
      <c r="D596">
        <v>2</v>
      </c>
      <c r="E596">
        <v>44.5</v>
      </c>
      <c r="F596">
        <v>0</v>
      </c>
      <c r="G596">
        <v>0</v>
      </c>
      <c r="H596" s="1">
        <f t="shared" si="19"/>
        <v>45828</v>
      </c>
      <c r="I596">
        <f t="shared" si="20"/>
        <v>25</v>
      </c>
    </row>
    <row r="597" spans="1:9" x14ac:dyDescent="0.2">
      <c r="A597">
        <v>20250621</v>
      </c>
      <c r="B597" t="s">
        <v>9</v>
      </c>
      <c r="C597" t="s">
        <v>24</v>
      </c>
      <c r="D597">
        <v>1</v>
      </c>
      <c r="E597">
        <v>72</v>
      </c>
      <c r="F597">
        <v>0</v>
      </c>
      <c r="G597">
        <v>0</v>
      </c>
      <c r="H597" s="1">
        <f t="shared" si="19"/>
        <v>45829</v>
      </c>
      <c r="I597">
        <f t="shared" si="20"/>
        <v>25</v>
      </c>
    </row>
    <row r="598" spans="1:9" x14ac:dyDescent="0.2">
      <c r="A598">
        <v>20250621</v>
      </c>
      <c r="B598" t="s">
        <v>10</v>
      </c>
      <c r="C598" t="s">
        <v>11</v>
      </c>
      <c r="D598">
        <v>1</v>
      </c>
      <c r="E598">
        <v>77</v>
      </c>
      <c r="F598">
        <v>0</v>
      </c>
      <c r="G598">
        <v>0</v>
      </c>
      <c r="H598" s="1">
        <f t="shared" si="19"/>
        <v>45829</v>
      </c>
      <c r="I598">
        <f t="shared" si="20"/>
        <v>25</v>
      </c>
    </row>
    <row r="599" spans="1:9" x14ac:dyDescent="0.2">
      <c r="A599">
        <v>20250621</v>
      </c>
      <c r="B599" t="s">
        <v>10</v>
      </c>
      <c r="C599" t="s">
        <v>25</v>
      </c>
      <c r="D599">
        <v>1</v>
      </c>
      <c r="E599">
        <v>51</v>
      </c>
      <c r="F599">
        <v>0</v>
      </c>
      <c r="G599">
        <v>0</v>
      </c>
      <c r="H599" s="1">
        <f t="shared" si="19"/>
        <v>45829</v>
      </c>
      <c r="I599">
        <f t="shared" si="20"/>
        <v>25</v>
      </c>
    </row>
    <row r="600" spans="1:9" x14ac:dyDescent="0.2">
      <c r="H600" s="1"/>
    </row>
    <row r="601" spans="1:9" x14ac:dyDescent="0.2">
      <c r="H601" s="1"/>
    </row>
    <row r="602" spans="1:9" x14ac:dyDescent="0.2">
      <c r="H602" s="1"/>
    </row>
    <row r="603" spans="1:9" x14ac:dyDescent="0.2">
      <c r="H603" s="1"/>
    </row>
    <row r="604" spans="1:9" x14ac:dyDescent="0.2">
      <c r="H604" s="1"/>
    </row>
  </sheetData>
  <autoFilter ref="A1:I604" xr:uid="{39093D48-39B3-C745-AC25-AA91918529A3}">
    <sortState xmlns:xlrd2="http://schemas.microsoft.com/office/spreadsheetml/2017/richdata2" ref="A2:I604">
      <sortCondition ref="A1:A604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22EB-8F62-6E47-BA28-869EC2105586}">
  <dimension ref="A1:W599"/>
  <sheetViews>
    <sheetView workbookViewId="0">
      <selection activeCell="N2" sqref="N2"/>
    </sheetView>
  </sheetViews>
  <sheetFormatPr baseColWidth="10" defaultRowHeight="16" x14ac:dyDescent="0.2"/>
  <cols>
    <col min="2" max="2" width="33" customWidth="1"/>
    <col min="14" max="14" width="25.6640625" customWidth="1"/>
  </cols>
  <sheetData>
    <row r="1" spans="1:2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</v>
      </c>
      <c r="I1" s="2" t="s">
        <v>34</v>
      </c>
      <c r="J1" s="2" t="s">
        <v>43</v>
      </c>
      <c r="M1" s="6" t="s">
        <v>9</v>
      </c>
      <c r="N1" s="6" t="s">
        <v>7</v>
      </c>
      <c r="O1" s="6" t="s">
        <v>12</v>
      </c>
      <c r="P1" s="6" t="s">
        <v>23</v>
      </c>
      <c r="Q1" s="6" t="s">
        <v>10</v>
      </c>
      <c r="R1" s="6" t="s">
        <v>16</v>
      </c>
      <c r="S1" s="6" t="s">
        <v>19</v>
      </c>
      <c r="T1" s="6" t="s">
        <v>30</v>
      </c>
      <c r="U1" s="6" t="s">
        <v>29</v>
      </c>
      <c r="V1" s="6" t="s">
        <v>14</v>
      </c>
    </row>
    <row r="2" spans="1:23" x14ac:dyDescent="0.2">
      <c r="A2">
        <v>20250101</v>
      </c>
      <c r="B2" t="s">
        <v>16</v>
      </c>
      <c r="C2" t="s">
        <v>25</v>
      </c>
      <c r="D2">
        <v>2</v>
      </c>
      <c r="E2">
        <v>37.5</v>
      </c>
      <c r="F2">
        <v>0</v>
      </c>
      <c r="G2">
        <v>0</v>
      </c>
      <c r="H2" s="1">
        <f t="shared" ref="H2:H65" si="0">DATE(LEFT(A2,4),MID(A2,5,2),RIGHT(A2,2))</f>
        <v>45658</v>
      </c>
      <c r="I2">
        <f t="shared" ref="I2:I65" si="1">WEEKNUM(H2)</f>
        <v>1</v>
      </c>
      <c r="J2" s="5">
        <f>(D2*E2)/SUM(D2:D599)</f>
        <v>2.6776151374509102E-2</v>
      </c>
      <c r="L2">
        <v>20250101</v>
      </c>
      <c r="M2" t="b" cm="1">
        <f t="array" ref="M2">Sheet7!M2=SUMPRODUCT((A2:A1000=$L2)*(D2:D1000)*(E2:E1000)) / SUMIFS(E2:E1000, A2:A1000, $L2)</f>
        <v>0</v>
      </c>
      <c r="N2" s="7" cm="1">
        <f t="array" ref="N2">SUMPRODUCT((A2:A1000=$L2)*(B2:B1000="silver hoop earrings for women")*(D2:D1000)*(E2:E1000)) / SUMIFS(E2:E1000, A2:A1000, $L2, B2:B1000, "silver hoop earrings for women")</f>
        <v>1</v>
      </c>
      <c r="O2" s="7" t="e" cm="1">
        <f t="array" ref="O2">SUMPRODUCT((A2:A1000=$L2)*(B2:B1000="hoop earrings")*(D2:D1000)*(E2:E1000)) / SUMIFS(E2:E1000, A2:A1000, $L2, B2:B1000, "hoop earrings")</f>
        <v>#DIV/0!</v>
      </c>
      <c r="P2" s="7" t="e" cm="1">
        <f t="array" ref="P2">SUMPRODUCT((A2:A1000=$L2)*(B2:B1000="silver hoops")*(D2:D1000)*(E2:E1000)) / SUMIFS(E2:E1000, A2:A1000, $L2, B2:B1000, "silver hoops")</f>
        <v>#DIV/0!</v>
      </c>
      <c r="Q2" s="7" cm="1">
        <f t="array" ref="Q2">SUMPRODUCT((A2:A1000=$L2)*(B2:B1000="sterling silver hoop earrings")*(D2:D1000)*(E2:E1000)) / SUMIFS(E2:E1000, A2:A1000, $L2, B2:B1000, "sterling silver hoop earrings")</f>
        <v>1.8595041322314041</v>
      </c>
      <c r="R2" s="7" cm="1">
        <f t="array" ref="R2">SUMPRODUCT((A2:A1000=$L2)*(B2:B1000="silver hoop earrings")*(D2:D1000)*(E2:E1000)) / SUMIFS(E2:E1000, A2:A1000, $L2, B2:B1000, "silver hoop earrings")</f>
        <v>2</v>
      </c>
      <c r="S2" s="7" t="e" cm="1">
        <f t="array" ref="S2">SUMPRODUCT((A2:A1000=$L2)*(B2:B1000="925 sterling silver earrings")*(D2:D1000)*(E2:E1000)) / SUMIFS(E2:E1000, A2:A1000, $L2, B2:B1000, "925 sterling silver earrings")</f>
        <v>#DIV/0!</v>
      </c>
      <c r="T2" s="7" t="e" cm="1">
        <f t="array" ref="T2">SUMPRODUCT((A2:A1000=$L2)*(B2:B1000="hoops")*(D2:D1000)*(E2:E1000)) / SUMIFS(E2:E1000, A2:A1000, $L2, B2:B1000, "hoops")</f>
        <v>#DIV/0!</v>
      </c>
      <c r="U2" s="7" t="e" cm="1">
        <f t="array" ref="U2">SUMPRODUCT((A2:A1000=$L2)*(B2:B1000="hoops earrings for women")*(D2:D1000)*(E2:E1000)) / SUMIFS(E2:E1000, A2:A1000, $L2, B2:B1000, "hoops earrings for women")</f>
        <v>#DIV/0!</v>
      </c>
      <c r="V2" s="7" t="e" cm="1">
        <f t="array" ref="V2">SUMPRODUCT((A2:A1000=$L2)*(B2:B1000="silver hoops earrings for women")*(D2:D1000)*(E2:E1000)) / SUMIFS(E2:E1000, A2:A1000, $L2, B2:B1000, "silver hoops earrings for women")</f>
        <v>#DIV/0!</v>
      </c>
      <c r="W2" s="7" t="e" cm="1">
        <f t="array" ref="W2">SUMPRODUCT((A2:A1000=$L2)*(B2:B1000="silver hoop earrings")*(D2:D1000)*(E2:E1000)) / SUMIFS(E2:E1000, A2:A1000, $L2, B2:B1000, "")</f>
        <v>#DIV/0!</v>
      </c>
    </row>
    <row r="3" spans="1:23" x14ac:dyDescent="0.2">
      <c r="A3">
        <v>20250101</v>
      </c>
      <c r="B3" t="s">
        <v>7</v>
      </c>
      <c r="C3" t="s">
        <v>17</v>
      </c>
      <c r="D3">
        <v>1</v>
      </c>
      <c r="E3">
        <v>20</v>
      </c>
      <c r="F3">
        <v>0</v>
      </c>
      <c r="G3">
        <v>0</v>
      </c>
      <c r="H3" s="1">
        <f t="shared" si="0"/>
        <v>45658</v>
      </c>
      <c r="I3">
        <f t="shared" si="1"/>
        <v>1</v>
      </c>
      <c r="J3" s="5">
        <f t="shared" ref="J3:J5" si="2">(D3*E3)/SUM(D3:D600)</f>
        <v>7.145409074669525E-3</v>
      </c>
      <c r="L3" s="9" t="s">
        <v>44</v>
      </c>
      <c r="M3" cm="1">
        <f t="array" ref="M3">SUMPRODUCT((A3:A1001=$L3)*(B3:B1001="sterling silver earrings")*(D3:D1001)*(E3:E1001)) / SUMIFS(E3:E1001, A3:A1001, $L3, B3:B1001, "sterling silver earrings")</f>
        <v>0</v>
      </c>
      <c r="N3" s="7" cm="1">
        <f t="array" ref="N3">SUMPRODUCT((A3:A1001=$L3)*(B3:B1001="silver hoop earrings for women")*(D3:D1001)*(E3:E1001)) / SUMIFS(E3:E1001, A3:A1001, $L3, B3:B1001, "silver hoop earrings for women")</f>
        <v>0</v>
      </c>
      <c r="O3" s="7" t="e" cm="1">
        <f t="array" ref="O3">SUMPRODUCT((A3:A1001=$L3)*(B3:B1001="hoop earrings")*(D3:D1001)*(E3:E1001)) / SUMIFS(E3:E1001, A3:A1001, $L3, B3:B1001, "hoop earrings")</f>
        <v>#DIV/0!</v>
      </c>
      <c r="P3" s="7" t="e" cm="1">
        <f t="array" ref="P3">SUMPRODUCT((A3:A1001=$L3)*(B3:B1001="silver hoops")*(D3:D1001)*(E3:E1001)) / SUMIFS(E3:E1001, A3:A1001, $L3, B3:B1001, "silver hoops")</f>
        <v>#DIV/0!</v>
      </c>
      <c r="Q3" s="7" t="e" cm="1">
        <f t="array" ref="Q3">SUMPRODUCT((A3:A1001=$L3)*(B3:B1001="sterling silver hoop earrings")*(D3:D1001)*(E3:E1001)) / SUMIFS(E3:E1001, A3:A1001, $L3, B3:B1001, "sterling silver hoop earrings")</f>
        <v>#DIV/0!</v>
      </c>
      <c r="R3" s="7" t="e" cm="1">
        <f t="array" ref="R3">SUMPRODUCT((A3:A1001=$L3)*(B3:B1001="silver hoop earrings")*(D3:D1001)*(E3:E1001)) / SUMIFS(E3:E1001, A3:A1001, $L3, B3:B1001, "silver hoop earrings")</f>
        <v>#DIV/0!</v>
      </c>
      <c r="S3" s="7" t="e" cm="1">
        <f t="array" ref="S3">SUMPRODUCT((A3:A1001=$L3)*(B3:B1001="925 sterling silver earrings")*(D3:D1001)*(E3:E1001)) / SUMIFS(E3:E1001, A3:A1001, $L3, B3:B1001, "925 sterling silver earrings")</f>
        <v>#DIV/0!</v>
      </c>
      <c r="T3" s="7" t="e" cm="1">
        <f t="array" ref="T3">SUMPRODUCT((A3:A1001=$L3)*(B3:B1001="hoops")*(D3:D1001)*(E3:E1001)) / SUMIFS(E3:E1001, A3:A1001, $L3, B3:B1001, "hoops")</f>
        <v>#DIV/0!</v>
      </c>
      <c r="U3" s="7" t="e" cm="1">
        <f t="array" ref="U3">SUMPRODUCT((A3:A1001=$L3)*(B3:B1001="hoops earrings for women")*(D3:D1001)*(E3:E1001)) / SUMIFS(E3:E1001, A3:A1001, $L3, B3:B1001, "hoops earrings for women")</f>
        <v>#DIV/0!</v>
      </c>
      <c r="V3" s="7" t="e" cm="1">
        <f t="array" ref="V3">SUMPRODUCT((A3:A1001=$L3)*(B3:B1001="silver hoops earrings for women")*(D3:D1001)*(E3:E1001)) / SUMIFS(E3:E1001, A3:A1001, $L3, B3:B1001, "silver hoops earrings for women")</f>
        <v>#DIV/0!</v>
      </c>
    </row>
    <row r="4" spans="1:23" x14ac:dyDescent="0.2">
      <c r="A4">
        <v>20250101</v>
      </c>
      <c r="B4" t="s">
        <v>7</v>
      </c>
      <c r="C4" t="s">
        <v>8</v>
      </c>
      <c r="D4">
        <v>1</v>
      </c>
      <c r="E4">
        <v>90</v>
      </c>
      <c r="F4">
        <v>0</v>
      </c>
      <c r="G4">
        <v>0</v>
      </c>
      <c r="H4" s="1">
        <f t="shared" si="0"/>
        <v>45658</v>
      </c>
      <c r="I4">
        <f t="shared" si="1"/>
        <v>1</v>
      </c>
      <c r="J4" s="5">
        <f t="shared" si="2"/>
        <v>3.2165832737669764E-2</v>
      </c>
      <c r="L4" s="9" t="s">
        <v>45</v>
      </c>
      <c r="M4" t="e" cm="1">
        <f t="array" ref="M4">SUMPRODUCT((A4:A1002=$L4)*(B4:B1002="sterling silver earrings")*(D4:D1002)*(E4:E1002)) / SUMIFS(E4:E1002, A4:A1002, $L4, B4:B1002, "sterling silver earrings")</f>
        <v>#DIV/0!</v>
      </c>
      <c r="N4" s="7" t="e" cm="1">
        <f t="array" ref="N4">SUMPRODUCT((A4:A1002=$L4)*(B4:B1002="silver hoop earrings for women")*(D4:D1002)*(E4:E1002)) / SUMIFS(E4:E1002, A4:A1002, $L4, B4:B1002, "silver hoop earrings for women")</f>
        <v>#DIV/0!</v>
      </c>
      <c r="O4" s="7" t="e" cm="1">
        <f t="array" ref="O4">SUMPRODUCT((A4:A1002=$L4)*(B4:B1002="hoop earrings")*(D4:D1002)*(E4:E1002)) / SUMIFS(E4:E1002, A4:A1002, $L4, B4:B1002, "hoop earrings")</f>
        <v>#DIV/0!</v>
      </c>
      <c r="P4" s="7" t="e" cm="1">
        <f t="array" ref="P4">SUMPRODUCT((A4:A1002=$L4)*(B4:B1002="silver hoops")*(D4:D1002)*(E4:E1002)) / SUMIFS(E4:E1002, A4:A1002, $L4, B4:B1002, "silver hoops")</f>
        <v>#DIV/0!</v>
      </c>
      <c r="Q4" s="7" t="e" cm="1">
        <f t="array" ref="Q4">SUMPRODUCT((A4:A1002=$L4)*(B4:B1002="sterling silver hoop earrings")*(D4:D1002)*(E4:E1002)) / SUMIFS(E4:E1002, A4:A1002, $L4, B4:B1002, "sterling silver hoop earrings")</f>
        <v>#DIV/0!</v>
      </c>
      <c r="R4" s="7" t="e" cm="1">
        <f t="array" ref="R4">SUMPRODUCT((A4:A1002=$L4)*(B4:B1002="silver hoop earrings")*(D4:D1002)*(E4:E1002)) / SUMIFS(E4:E1002, A4:A1002, $L4, B4:B1002, "silver hoop earrings")</f>
        <v>#DIV/0!</v>
      </c>
      <c r="S4" s="7" t="e" cm="1">
        <f t="array" ref="S4">SUMPRODUCT((A4:A1002=$L4)*(B4:B1002="925 sterling silver earrings")*(D4:D1002)*(E4:E1002)) / SUMIFS(E4:E1002, A4:A1002, $L4, B4:B1002, "925 sterling silver earrings")</f>
        <v>#DIV/0!</v>
      </c>
      <c r="T4" s="7" t="e" cm="1">
        <f t="array" ref="T4">SUMPRODUCT((A4:A1002=$L4)*(B4:B1002="hoops")*(D4:D1002)*(E4:E1002)) / SUMIFS(E4:E1002, A4:A1002, $L4, B4:B1002, "hoops")</f>
        <v>#DIV/0!</v>
      </c>
      <c r="U4" s="7" t="e" cm="1">
        <f t="array" ref="U4">SUMPRODUCT((A4:A1002=$L4)*(B4:B1002="hoops earrings for women")*(D4:D1002)*(E4:E1002)) / SUMIFS(E4:E1002, A4:A1002, $L4, B4:B1002, "hoops earrings for women")</f>
        <v>#DIV/0!</v>
      </c>
      <c r="V4" s="7" t="e" cm="1">
        <f t="array" ref="V4">SUMPRODUCT((A4:A1002=$L4)*(B4:B1002="silver hoops earrings for women")*(D4:D1002)*(E4:E1002)) / SUMIFS(E4:E1002, A4:A1002, $L4, B4:B1002, "silver hoops earrings for women")</f>
        <v>#DIV/0!</v>
      </c>
    </row>
    <row r="5" spans="1:23" x14ac:dyDescent="0.2">
      <c r="A5">
        <v>20250101</v>
      </c>
      <c r="B5" t="s">
        <v>10</v>
      </c>
      <c r="C5" t="s">
        <v>25</v>
      </c>
      <c r="D5">
        <v>3</v>
      </c>
      <c r="E5">
        <v>34.6666666666666</v>
      </c>
      <c r="F5">
        <v>0</v>
      </c>
      <c r="G5">
        <v>0</v>
      </c>
      <c r="H5" s="1">
        <f t="shared" si="0"/>
        <v>45658</v>
      </c>
      <c r="I5">
        <f t="shared" si="1"/>
        <v>1</v>
      </c>
      <c r="J5" s="5">
        <f t="shared" si="2"/>
        <v>3.7182695745441474E-2</v>
      </c>
      <c r="L5" s="9" t="s">
        <v>46</v>
      </c>
      <c r="M5" t="e" cm="1">
        <f t="array" ref="M5">SUMPRODUCT((A5:A1003=$L5)*(B5:B1003="sterling silver earrings")*(D5:D1003)*(E5:E1003)) / SUMIFS(E5:E1003, A5:A1003, $L5, B5:B1003, "sterling silver earrings")</f>
        <v>#DIV/0!</v>
      </c>
      <c r="N5" s="7" t="e" cm="1">
        <f t="array" ref="N5">SUMPRODUCT((A5:A1003=$L5)*(B5:B1003="silver hoop earrings for women")*(D5:D1003)*(E5:E1003)) / SUMIFS(E5:E1003, A5:A1003, $L5, B5:B1003, "silver hoop earrings for women")</f>
        <v>#DIV/0!</v>
      </c>
      <c r="O5" s="7" cm="1">
        <f t="array" ref="O5">SUMPRODUCT((A5:A1003=$L5)*(B5:B1003="hoop earrings")*(D5:D1003)*(E5:E1003)) / SUMIFS(E5:E1003, A5:A1003, $L5, B5:B1003, "hoop earrings")</f>
        <v>0</v>
      </c>
      <c r="P5" s="7" t="e" cm="1">
        <f t="array" ref="P5">SUMPRODUCT((A5:A1003=$L5)*(B5:B1003="silver hoops")*(D5:D1003)*(E5:E1003)) / SUMIFS(E5:E1003, A5:A1003, $L5, B5:B1003, "silver hoops")</f>
        <v>#DIV/0!</v>
      </c>
      <c r="Q5" s="7" t="e" cm="1">
        <f t="array" ref="Q5">SUMPRODUCT((A5:A1003=$L5)*(B5:B1003="sterling silver hoop earrings")*(D5:D1003)*(E5:E1003)) / SUMIFS(E5:E1003, A5:A1003, $L5, B5:B1003, "sterling silver hoop earrings")</f>
        <v>#DIV/0!</v>
      </c>
      <c r="R5" s="7" cm="1">
        <f t="array" ref="R5">SUMPRODUCT((A5:A1003=$L5)*(B5:B1003="silver hoop earrings")*(D5:D1003)*(E5:E1003)) / SUMIFS(E5:E1003, A5:A1003, $L5, B5:B1003, "silver hoop earrings")</f>
        <v>0</v>
      </c>
      <c r="S5" s="7" t="e" cm="1">
        <f t="array" ref="S5">SUMPRODUCT((A5:A1003=$L5)*(B5:B1003="925 sterling silver earrings")*(D5:D1003)*(E5:E1003)) / SUMIFS(E5:E1003, A5:A1003, $L5, B5:B1003, "925 sterling silver earrings")</f>
        <v>#DIV/0!</v>
      </c>
      <c r="T5" s="7" t="e" cm="1">
        <f t="array" ref="T5">SUMPRODUCT((A5:A1003=$L5)*(B5:B1003="hoops")*(D5:D1003)*(E5:E1003)) / SUMIFS(E5:E1003, A5:A1003, $L5, B5:B1003, "hoops")</f>
        <v>#DIV/0!</v>
      </c>
      <c r="U5" s="7" t="e" cm="1">
        <f t="array" ref="U5">SUMPRODUCT((A5:A1003=$L5)*(B5:B1003="hoops earrings for women")*(D5:D1003)*(E5:E1003)) / SUMIFS(E5:E1003, A5:A1003, $L5, B5:B1003, "hoops earrings for women")</f>
        <v>#DIV/0!</v>
      </c>
      <c r="V5" s="7" t="e" cm="1">
        <f t="array" ref="V5">SUMPRODUCT((A5:A1003=$L5)*(B5:B1003="silver hoops earrings for women")*(D5:D1003)*(E5:E1003)) / SUMIFS(E5:E1003, A5:A1003, $L5, B5:B1003, "silver hoops earrings for women")</f>
        <v>#DIV/0!</v>
      </c>
    </row>
    <row r="6" spans="1:23" x14ac:dyDescent="0.2">
      <c r="A6">
        <v>20250101</v>
      </c>
      <c r="B6" t="s">
        <v>10</v>
      </c>
      <c r="C6" t="s">
        <v>28</v>
      </c>
      <c r="D6">
        <v>1</v>
      </c>
      <c r="E6">
        <v>37</v>
      </c>
      <c r="F6">
        <v>0</v>
      </c>
      <c r="G6">
        <v>0</v>
      </c>
      <c r="H6" s="1">
        <f t="shared" si="0"/>
        <v>45658</v>
      </c>
      <c r="I6">
        <f t="shared" si="1"/>
        <v>1</v>
      </c>
      <c r="L6" s="9" t="s">
        <v>47</v>
      </c>
      <c r="M6" cm="1">
        <f t="array" ref="M6">SUMPRODUCT((A6:A1004=$L6)*(B6:B1004="sterling silver earrings")*(D6:D1004)*(E6:E1004)) / SUMIFS(E6:E1004, A6:A1004, $L6, B6:B1004, "sterling silver earrings")</f>
        <v>0</v>
      </c>
      <c r="N6" s="7" t="e" cm="1">
        <f t="array" ref="N6">SUMPRODUCT((A6:A1004=$L6)*(B6:B1004="silver hoop earrings for women")*(D6:D1004)*(E6:E1004)) / SUMIFS(E6:E1004, A6:A1004, $L6, B6:B1004, "silver hoop earrings for women")</f>
        <v>#DIV/0!</v>
      </c>
      <c r="O6" s="7" t="e" cm="1">
        <f t="array" ref="O6">SUMPRODUCT((A6:A1004=$L6)*(B6:B1004="hoop earrings")*(D6:D1004)*(E6:E1004)) / SUMIFS(E6:E1004, A6:A1004, $L6, B6:B1004, "hoop earrings")</f>
        <v>#DIV/0!</v>
      </c>
      <c r="P6" s="7" t="e" cm="1">
        <f t="array" ref="P6">SUMPRODUCT((A6:A1004=$L6)*(B6:B1004="silver hoops")*(D6:D1004)*(E6:E1004)) / SUMIFS(E6:E1004, A6:A1004, $L6, B6:B1004, "silver hoops")</f>
        <v>#DIV/0!</v>
      </c>
      <c r="Q6" s="7" t="e" cm="1">
        <f t="array" ref="Q6">SUMPRODUCT((A6:A1004=$L6)*(B6:B1004="sterling silver hoop earrings")*(D6:D1004)*(E6:E1004)) / SUMIFS(E6:E1004, A6:A1004, $L6, B6:B1004, "sterling silver hoop earrings")</f>
        <v>#DIV/0!</v>
      </c>
      <c r="R6" s="7" t="e" cm="1">
        <f t="array" ref="R6">SUMPRODUCT((A6:A1004=$L6)*(B6:B1004="silver hoop earrings")*(D6:D1004)*(E6:E1004)) / SUMIFS(E6:E1004, A6:A1004, $L6, B6:B1004, "silver hoop earrings")</f>
        <v>#DIV/0!</v>
      </c>
      <c r="S6" s="7" t="e" cm="1">
        <f t="array" ref="S6">SUMPRODUCT((A6:A1004=$L6)*(B6:B1004="925 sterling silver earrings")*(D6:D1004)*(E6:E1004)) / SUMIFS(E6:E1004, A6:A1004, $L6, B6:B1004, "925 sterling silver earrings")</f>
        <v>#DIV/0!</v>
      </c>
      <c r="T6" s="7" t="e" cm="1">
        <f t="array" ref="T6">SUMPRODUCT((A6:A1004=$L6)*(B6:B1004="hoops")*(D6:D1004)*(E6:E1004)) / SUMIFS(E6:E1004, A6:A1004, $L6, B6:B1004, "hoops")</f>
        <v>#DIV/0!</v>
      </c>
      <c r="U6" s="7" t="e" cm="1">
        <f t="array" ref="U6">SUMPRODUCT((A6:A1004=$L6)*(B6:B1004="hoops earrings for women")*(D6:D1004)*(E6:E1004)) / SUMIFS(E6:E1004, A6:A1004, $L6, B6:B1004, "hoops earrings for women")</f>
        <v>#DIV/0!</v>
      </c>
      <c r="V6" s="7" t="e" cm="1">
        <f t="array" ref="V6">SUMPRODUCT((A6:A1004=$L6)*(B6:B1004="silver hoops earrings for women")*(D6:D1004)*(E6:E1004)) / SUMIFS(E6:E1004, A6:A1004, $L6, B6:B1004, "silver hoops earrings for women")</f>
        <v>#DIV/0!</v>
      </c>
    </row>
    <row r="7" spans="1:23" x14ac:dyDescent="0.2">
      <c r="A7">
        <v>20250101</v>
      </c>
      <c r="B7" t="s">
        <v>10</v>
      </c>
      <c r="C7" t="s">
        <v>8</v>
      </c>
      <c r="D7">
        <v>1</v>
      </c>
      <c r="E7">
        <v>9</v>
      </c>
      <c r="F7">
        <v>0</v>
      </c>
      <c r="G7">
        <v>0</v>
      </c>
      <c r="H7" s="1">
        <f t="shared" si="0"/>
        <v>45658</v>
      </c>
      <c r="I7">
        <f t="shared" si="1"/>
        <v>1</v>
      </c>
      <c r="L7" s="9" t="s">
        <v>48</v>
      </c>
      <c r="M7" t="e" cm="1">
        <f t="array" ref="M7">SUMPRODUCT((A7:A1005=$L7)*(B7:B1005="sterling silver earrings")*(D7:D1005)*(E7:E1005)) / SUMIFS(E7:E1005, A7:A1005, $L7, B7:B1005, "sterling silver earrings")</f>
        <v>#DIV/0!</v>
      </c>
      <c r="N7" s="7" cm="1">
        <f t="array" ref="N7">SUMPRODUCT((A7:A1005=$L7)*(B7:B1005="silver hoop earrings for women")*(D7:D1005)*(E7:E1005)) / SUMIFS(E7:E1005, A7:A1005, $L7, B7:B1005, "silver hoop earrings for women")</f>
        <v>0</v>
      </c>
      <c r="O7" s="7" t="e" cm="1">
        <f t="array" ref="O7">SUMPRODUCT((A7:A1005=$L7)*(B7:B1005="hoop earrings")*(D7:D1005)*(E7:E1005)) / SUMIFS(E7:E1005, A7:A1005, $L7, B7:B1005, "hoop earrings")</f>
        <v>#DIV/0!</v>
      </c>
      <c r="P7" s="7" t="e" cm="1">
        <f t="array" ref="P7">SUMPRODUCT((A7:A1005=$L7)*(B7:B1005="silver hoops")*(D7:D1005)*(E7:E1005)) / SUMIFS(E7:E1005, A7:A1005, $L7, B7:B1005, "silver hoops")</f>
        <v>#DIV/0!</v>
      </c>
      <c r="Q7" s="7" t="e" cm="1">
        <f t="array" ref="Q7">SUMPRODUCT((A7:A1005=$L7)*(B7:B1005="sterling silver hoop earrings")*(D7:D1005)*(E7:E1005)) / SUMIFS(E7:E1005, A7:A1005, $L7, B7:B1005, "sterling silver hoop earrings")</f>
        <v>#DIV/0!</v>
      </c>
      <c r="R7" s="7" cm="1">
        <f t="array" ref="R7">SUMPRODUCT((A7:A1005=$L7)*(B7:B1005="silver hoop earrings")*(D7:D1005)*(E7:E1005)) / SUMIFS(E7:E1005, A7:A1005, $L7, B7:B1005, "silver hoop earrings")</f>
        <v>0</v>
      </c>
      <c r="S7" s="7" cm="1">
        <f t="array" ref="S7">SUMPRODUCT((A7:A1005=$L7)*(B7:B1005="925 sterling silver earrings")*(D7:D1005)*(E7:E1005)) / SUMIFS(E7:E1005, A7:A1005, $L7, B7:B1005, "925 sterling silver earrings")</f>
        <v>0</v>
      </c>
      <c r="T7" s="7" t="e" cm="1">
        <f t="array" ref="T7">SUMPRODUCT((A7:A1005=$L7)*(B7:B1005="hoops")*(D7:D1005)*(E7:E1005)) / SUMIFS(E7:E1005, A7:A1005, $L7, B7:B1005, "hoops")</f>
        <v>#DIV/0!</v>
      </c>
      <c r="U7" s="7" t="e" cm="1">
        <f t="array" ref="U7">SUMPRODUCT((A7:A1005=$L7)*(B7:B1005="hoops earrings for women")*(D7:D1005)*(E7:E1005)) / SUMIFS(E7:E1005, A7:A1005, $L7, B7:B1005, "hoops earrings for women")</f>
        <v>#DIV/0!</v>
      </c>
      <c r="V7" s="7" cm="1">
        <f t="array" ref="V7">SUMPRODUCT((A7:A1005=$L7)*(B7:B1005="silver hoops earrings for women")*(D7:D1005)*(E7:E1005)) / SUMIFS(E7:E1005, A7:A1005, $L7, B7:B1005, "silver hoops earrings for women")</f>
        <v>0</v>
      </c>
    </row>
    <row r="8" spans="1:23" x14ac:dyDescent="0.2">
      <c r="A8">
        <v>20250102</v>
      </c>
      <c r="B8" t="s">
        <v>7</v>
      </c>
      <c r="C8" t="s">
        <v>28</v>
      </c>
      <c r="D8">
        <v>2</v>
      </c>
      <c r="E8">
        <v>13</v>
      </c>
      <c r="F8">
        <v>0</v>
      </c>
      <c r="G8">
        <v>0</v>
      </c>
      <c r="H8" s="1">
        <f t="shared" si="0"/>
        <v>45659</v>
      </c>
      <c r="I8">
        <f t="shared" si="1"/>
        <v>1</v>
      </c>
      <c r="L8" s="9" t="s">
        <v>49</v>
      </c>
      <c r="M8" cm="1">
        <f t="array" ref="M8">SUMPRODUCT((A8:A1006=$L8)*(B8:B1006="sterling silver earrings")*(D8:D1006)*(E8:E1006)) / SUMIFS(E8:E1006, A8:A1006, $L8, B8:B1006, "sterling silver earrings")</f>
        <v>0</v>
      </c>
      <c r="N8" s="7" cm="1">
        <f t="array" ref="N8">SUMPRODUCT((A8:A1006=$L8)*(B8:B1006="silver hoop earrings for women")*(D8:D1006)*(E8:E1006)) / SUMIFS(E8:E1006, A8:A1006, $L8, B8:B1006, "silver hoop earrings for women")</f>
        <v>0</v>
      </c>
      <c r="O8" s="7" t="e" cm="1">
        <f t="array" ref="O8">SUMPRODUCT((A8:A1006=$L8)*(B8:B1006="hoop earrings")*(D8:D1006)*(E8:E1006)) / SUMIFS(E8:E1006, A8:A1006, $L8, B8:B1006, "hoop earrings")</f>
        <v>#DIV/0!</v>
      </c>
      <c r="P8" s="7" t="e" cm="1">
        <f t="array" ref="P8">SUMPRODUCT((A8:A1006=$L8)*(B8:B1006="silver hoops")*(D8:D1006)*(E8:E1006)) / SUMIFS(E8:E1006, A8:A1006, $L8, B8:B1006, "silver hoops")</f>
        <v>#DIV/0!</v>
      </c>
      <c r="Q8" s="7" cm="1">
        <f t="array" ref="Q8">SUMPRODUCT((A8:A1006=$L8)*(B8:B1006="sterling silver hoop earrings")*(D8:D1006)*(E8:E1006)) / SUMIFS(E8:E1006, A8:A1006, $L8, B8:B1006, "sterling silver hoop earrings")</f>
        <v>0</v>
      </c>
      <c r="R8" s="7" t="e" cm="1">
        <f t="array" ref="R8">SUMPRODUCT((A8:A1006=$L8)*(B8:B1006="silver hoop earrings")*(D8:D1006)*(E8:E1006)) / SUMIFS(E8:E1006, A8:A1006, $L8, B8:B1006, "silver hoop earrings")</f>
        <v>#DIV/0!</v>
      </c>
      <c r="S8" s="7" t="e" cm="1">
        <f t="array" ref="S8">SUMPRODUCT((A8:A1006=$L8)*(B8:B1006="925 sterling silver earrings")*(D8:D1006)*(E8:E1006)) / SUMIFS(E8:E1006, A8:A1006, $L8, B8:B1006, "925 sterling silver earrings")</f>
        <v>#DIV/0!</v>
      </c>
      <c r="T8" s="7" t="e" cm="1">
        <f t="array" ref="T8">SUMPRODUCT((A8:A1006=$L8)*(B8:B1006="hoops")*(D8:D1006)*(E8:E1006)) / SUMIFS(E8:E1006, A8:A1006, $L8, B8:B1006, "hoops")</f>
        <v>#DIV/0!</v>
      </c>
      <c r="U8" s="7" t="e" cm="1">
        <f t="array" ref="U8">SUMPRODUCT((A8:A1006=$L8)*(B8:B1006="hoops earrings for women")*(D8:D1006)*(E8:E1006)) / SUMIFS(E8:E1006, A8:A1006, $L8, B8:B1006, "hoops earrings for women")</f>
        <v>#DIV/0!</v>
      </c>
      <c r="V8" s="7" t="e" cm="1">
        <f t="array" ref="V8">SUMPRODUCT((A8:A1006=$L8)*(B8:B1006="silver hoops earrings for women")*(D8:D1006)*(E8:E1006)) / SUMIFS(E8:E1006, A8:A1006, $L8, B8:B1006, "silver hoops earrings for women")</f>
        <v>#DIV/0!</v>
      </c>
    </row>
    <row r="9" spans="1:23" x14ac:dyDescent="0.2">
      <c r="A9">
        <v>20250102</v>
      </c>
      <c r="B9" t="s">
        <v>9</v>
      </c>
      <c r="C9" t="s">
        <v>15</v>
      </c>
      <c r="D9">
        <v>1</v>
      </c>
      <c r="E9">
        <v>1</v>
      </c>
      <c r="F9">
        <v>0</v>
      </c>
      <c r="G9">
        <v>0</v>
      </c>
      <c r="H9" s="1">
        <f t="shared" si="0"/>
        <v>45659</v>
      </c>
      <c r="I9">
        <f t="shared" si="1"/>
        <v>1</v>
      </c>
      <c r="L9" s="9" t="s">
        <v>50</v>
      </c>
      <c r="M9" t="e" cm="1">
        <f t="array" ref="M9">SUMPRODUCT((A9:A1007=$L9)*(B9:B1007="sterling silver earrings")*(D9:D1007)*(E9:E1007)) / SUMIFS(E9:E1007, A9:A1007, $L9, B9:B1007, "sterling silver earrings")</f>
        <v>#DIV/0!</v>
      </c>
      <c r="N9" s="7" t="e" cm="1">
        <f t="array" ref="N9">SUMPRODUCT((A9:A1007=$L9)*(B9:B1007="silver hoop earrings for women")*(D9:D1007)*(E9:E1007)) / SUMIFS(E9:E1007, A9:A1007, $L9, B9:B1007, "silver hoop earrings for women")</f>
        <v>#DIV/0!</v>
      </c>
      <c r="O9" s="7" t="e" cm="1">
        <f t="array" ref="O9">SUMPRODUCT((A9:A1007=$L9)*(B9:B1007="hoop earrings")*(D9:D1007)*(E9:E1007)) / SUMIFS(E9:E1007, A9:A1007, $L9, B9:B1007, "hoop earrings")</f>
        <v>#DIV/0!</v>
      </c>
      <c r="P9" s="7" t="e" cm="1">
        <f t="array" ref="P9">SUMPRODUCT((A9:A1007=$L9)*(B9:B1007="silver hoops")*(D9:D1007)*(E9:E1007)) / SUMIFS(E9:E1007, A9:A1007, $L9, B9:B1007, "silver hoops")</f>
        <v>#DIV/0!</v>
      </c>
      <c r="Q9" s="7" cm="1">
        <f t="array" ref="Q9">SUMPRODUCT((A9:A1007=$L9)*(B9:B1007="sterling silver hoop earrings")*(D9:D1007)*(E9:E1007)) / SUMIFS(E9:E1007, A9:A1007, $L9, B9:B1007, "sterling silver hoop earrings")</f>
        <v>0</v>
      </c>
      <c r="R9" s="7" cm="1">
        <f t="array" ref="R9">SUMPRODUCT((A9:A1007=$L9)*(B9:B1007="silver hoop earrings")*(D9:D1007)*(E9:E1007)) / SUMIFS(E9:E1007, A9:A1007, $L9, B9:B1007, "silver hoop earrings")</f>
        <v>0</v>
      </c>
      <c r="S9" s="7" t="e" cm="1">
        <f t="array" ref="S9">SUMPRODUCT((A9:A1007=$L9)*(B9:B1007="925 sterling silver earrings")*(D9:D1007)*(E9:E1007)) / SUMIFS(E9:E1007, A9:A1007, $L9, B9:B1007, "925 sterling silver earrings")</f>
        <v>#DIV/0!</v>
      </c>
      <c r="T9" s="7" t="e" cm="1">
        <f t="array" ref="T9">SUMPRODUCT((A9:A1007=$L9)*(B9:B1007="hoops")*(D9:D1007)*(E9:E1007)) / SUMIFS(E9:E1007, A9:A1007, $L9, B9:B1007, "hoops")</f>
        <v>#DIV/0!</v>
      </c>
      <c r="U9" s="7" t="e" cm="1">
        <f t="array" ref="U9">SUMPRODUCT((A9:A1007=$L9)*(B9:B1007="hoops earrings for women")*(D9:D1007)*(E9:E1007)) / SUMIFS(E9:E1007, A9:A1007, $L9, B9:B1007, "hoops earrings for women")</f>
        <v>#DIV/0!</v>
      </c>
      <c r="V9" s="7" t="e" cm="1">
        <f t="array" ref="V9">SUMPRODUCT((A9:A1007=$L9)*(B9:B1007="silver hoops earrings for women")*(D9:D1007)*(E9:E1007)) / SUMIFS(E9:E1007, A9:A1007, $L9, B9:B1007, "silver hoops earrings for women")</f>
        <v>#DIV/0!</v>
      </c>
    </row>
    <row r="10" spans="1:23" x14ac:dyDescent="0.2">
      <c r="A10">
        <v>20250104</v>
      </c>
      <c r="B10" t="s">
        <v>12</v>
      </c>
      <c r="C10" t="s">
        <v>8</v>
      </c>
      <c r="D10">
        <v>1</v>
      </c>
      <c r="E10">
        <v>1</v>
      </c>
      <c r="F10">
        <v>0</v>
      </c>
      <c r="G10">
        <v>0</v>
      </c>
      <c r="H10" s="1">
        <f t="shared" si="0"/>
        <v>45661</v>
      </c>
      <c r="I10">
        <f t="shared" si="1"/>
        <v>1</v>
      </c>
      <c r="L10" s="9" t="s">
        <v>51</v>
      </c>
      <c r="M10" t="e" cm="1">
        <f t="array" ref="M10">SUMPRODUCT((A10:A1008=$L10)*(B10:B1008="sterling silver earrings")*(D10:D1008)*(E10:E1008)) / SUMIFS(E10:E1008, A10:A1008, $L10, B10:B1008, "sterling silver earrings")</f>
        <v>#DIV/0!</v>
      </c>
      <c r="N10" s="7" t="e" cm="1">
        <f t="array" ref="N10">SUMPRODUCT((A10:A1008=$L10)*(B10:B1008="silver hoop earrings for women")*(D10:D1008)*(E10:E1008)) / SUMIFS(E10:E1008, A10:A1008, $L10, B10:B1008, "silver hoop earrings for women")</f>
        <v>#DIV/0!</v>
      </c>
      <c r="O10" s="7" t="e" cm="1">
        <f t="array" ref="O10">SUMPRODUCT((A10:A1008=$L10)*(B10:B1008="hoop earrings")*(D10:D1008)*(E10:E1008)) / SUMIFS(E10:E1008, A10:A1008, $L10, B10:B1008, "hoop earrings")</f>
        <v>#DIV/0!</v>
      </c>
      <c r="P10" s="7" t="e" cm="1">
        <f t="array" ref="P10">SUMPRODUCT((A10:A1008=$L10)*(B10:B1008="silver hoops")*(D10:D1008)*(E10:E1008)) / SUMIFS(E10:E1008, A10:A1008, $L10, B10:B1008, "silver hoops")</f>
        <v>#DIV/0!</v>
      </c>
      <c r="Q10" s="7" cm="1">
        <f t="array" ref="Q10">SUMPRODUCT((A10:A1008=$L10)*(B10:B1008="sterling silver hoop earrings")*(D10:D1008)*(E10:E1008)) / SUMIFS(E10:E1008, A10:A1008, $L10, B10:B1008, "sterling silver hoop earrings")</f>
        <v>0</v>
      </c>
      <c r="R10" s="7" t="e" cm="1">
        <f t="array" ref="R10">SUMPRODUCT((A10:A1008=$L10)*(B10:B1008="silver hoop earrings")*(D10:D1008)*(E10:E1008)) / SUMIFS(E10:E1008, A10:A1008, $L10, B10:B1008, "silver hoop earrings")</f>
        <v>#DIV/0!</v>
      </c>
      <c r="S10" s="7" t="e" cm="1">
        <f t="array" ref="S10">SUMPRODUCT((A10:A1008=$L10)*(B10:B1008="925 sterling silver earrings")*(D10:D1008)*(E10:E1008)) / SUMIFS(E10:E1008, A10:A1008, $L10, B10:B1008, "925 sterling silver earrings")</f>
        <v>#DIV/0!</v>
      </c>
      <c r="T10" s="7" t="e" cm="1">
        <f t="array" ref="T10">SUMPRODUCT((A10:A1008=$L10)*(B10:B1008="hoops")*(D10:D1008)*(E10:E1008)) / SUMIFS(E10:E1008, A10:A1008, $L10, B10:B1008, "hoops")</f>
        <v>#DIV/0!</v>
      </c>
      <c r="U10" s="7" t="e" cm="1">
        <f t="array" ref="U10">SUMPRODUCT((A10:A1008=$L10)*(B10:B1008="hoops earrings for women")*(D10:D1008)*(E10:E1008)) / SUMIFS(E10:E1008, A10:A1008, $L10, B10:B1008, "hoops earrings for women")</f>
        <v>#DIV/0!</v>
      </c>
      <c r="V10" s="7" cm="1">
        <f t="array" ref="V10">SUMPRODUCT((A10:A1008=$L10)*(B10:B1008="silver hoops earrings for women")*(D10:D1008)*(E10:E1008)) / SUMIFS(E10:E1008, A10:A1008, $L10, B10:B1008, "silver hoops earrings for women")</f>
        <v>0</v>
      </c>
    </row>
    <row r="11" spans="1:23" x14ac:dyDescent="0.2">
      <c r="A11">
        <v>20250104</v>
      </c>
      <c r="B11" t="s">
        <v>16</v>
      </c>
      <c r="C11" t="s">
        <v>17</v>
      </c>
      <c r="D11">
        <v>1</v>
      </c>
      <c r="E11">
        <v>31</v>
      </c>
      <c r="F11">
        <v>0</v>
      </c>
      <c r="G11">
        <v>0</v>
      </c>
      <c r="H11" s="1">
        <f t="shared" si="0"/>
        <v>45661</v>
      </c>
      <c r="I11">
        <f t="shared" si="1"/>
        <v>1</v>
      </c>
      <c r="L11" s="9" t="s">
        <v>52</v>
      </c>
      <c r="M11" t="e" cm="1">
        <f t="array" ref="M11">SUMPRODUCT((A11:A1009=$L11)*(B11:B1009="sterling silver earrings")*(D11:D1009)*(E11:E1009)) / SUMIFS(E11:E1009, A11:A1009, $L11, B11:B1009, "sterling silver earrings")</f>
        <v>#DIV/0!</v>
      </c>
      <c r="N11" s="7" cm="1">
        <f t="array" ref="N11">SUMPRODUCT((A11:A1009=$L11)*(B11:B1009="silver hoop earrings for women")*(D11:D1009)*(E11:E1009)) / SUMIFS(E11:E1009, A11:A1009, $L11, B11:B1009, "silver hoop earrings for women")</f>
        <v>0</v>
      </c>
      <c r="O11" s="7" t="e" cm="1">
        <f t="array" ref="O11">SUMPRODUCT((A11:A1009=$L11)*(B11:B1009="hoop earrings")*(D11:D1009)*(E11:E1009)) / SUMIFS(E11:E1009, A11:A1009, $L11, B11:B1009, "hoop earrings")</f>
        <v>#DIV/0!</v>
      </c>
      <c r="P11" s="7" t="e" cm="1">
        <f t="array" ref="P11">SUMPRODUCT((A11:A1009=$L11)*(B11:B1009="silver hoops")*(D11:D1009)*(E11:E1009)) / SUMIFS(E11:E1009, A11:A1009, $L11, B11:B1009, "silver hoops")</f>
        <v>#DIV/0!</v>
      </c>
      <c r="Q11" s="7" t="e" cm="1">
        <f t="array" ref="Q11">SUMPRODUCT((A11:A1009=$L11)*(B11:B1009="sterling silver hoop earrings")*(D11:D1009)*(E11:E1009)) / SUMIFS(E11:E1009, A11:A1009, $L11, B11:B1009, "sterling silver hoop earrings")</f>
        <v>#DIV/0!</v>
      </c>
      <c r="R11" s="7" t="e" cm="1">
        <f t="array" ref="R11">SUMPRODUCT((A11:A1009=$L11)*(B11:B1009="silver hoop earrings")*(D11:D1009)*(E11:E1009)) / SUMIFS(E11:E1009, A11:A1009, $L11, B11:B1009, "silver hoop earrings")</f>
        <v>#DIV/0!</v>
      </c>
      <c r="S11" s="7" t="e" cm="1">
        <f t="array" ref="S11">SUMPRODUCT((A11:A1009=$L11)*(B11:B1009="925 sterling silver earrings")*(D11:D1009)*(E11:E1009)) / SUMIFS(E11:E1009, A11:A1009, $L11, B11:B1009, "925 sterling silver earrings")</f>
        <v>#DIV/0!</v>
      </c>
      <c r="T11" s="7" t="e" cm="1">
        <f t="array" ref="T11">SUMPRODUCT((A11:A1009=$L11)*(B11:B1009="hoops")*(D11:D1009)*(E11:E1009)) / SUMIFS(E11:E1009, A11:A1009, $L11, B11:B1009, "hoops")</f>
        <v>#DIV/0!</v>
      </c>
      <c r="U11" s="7" t="e" cm="1">
        <f t="array" ref="U11">SUMPRODUCT((A11:A1009=$L11)*(B11:B1009="hoops earrings for women")*(D11:D1009)*(E11:E1009)) / SUMIFS(E11:E1009, A11:A1009, $L11, B11:B1009, "hoops earrings for women")</f>
        <v>#DIV/0!</v>
      </c>
      <c r="V11" s="7" t="e" cm="1">
        <f t="array" ref="V11">SUMPRODUCT((A11:A1009=$L11)*(B11:B1009="silver hoops earrings for women")*(D11:D1009)*(E11:E1009)) / SUMIFS(E11:E1009, A11:A1009, $L11, B11:B1009, "silver hoops earrings for women")</f>
        <v>#DIV/0!</v>
      </c>
    </row>
    <row r="12" spans="1:23" x14ac:dyDescent="0.2">
      <c r="A12">
        <v>20250105</v>
      </c>
      <c r="B12" t="s">
        <v>9</v>
      </c>
      <c r="C12" t="s">
        <v>15</v>
      </c>
      <c r="D12">
        <v>2</v>
      </c>
      <c r="E12">
        <v>1</v>
      </c>
      <c r="F12">
        <v>0</v>
      </c>
      <c r="G12">
        <v>0</v>
      </c>
      <c r="H12" s="1">
        <f t="shared" si="0"/>
        <v>45662</v>
      </c>
      <c r="I12">
        <f t="shared" si="1"/>
        <v>2</v>
      </c>
      <c r="L12" s="9" t="s">
        <v>53</v>
      </c>
      <c r="M12" t="e" cm="1">
        <f t="array" ref="M12">SUMPRODUCT((A12:A1010=$L12)*(B12:B1010="sterling silver earrings")*(D12:D1010)*(E12:E1010)) / SUMIFS(E12:E1010, A12:A1010, $L12, B12:B1010, "sterling silver earrings")</f>
        <v>#DIV/0!</v>
      </c>
      <c r="N12" s="7" cm="1">
        <f t="array" ref="N12">SUMPRODUCT((A12:A1010=$L12)*(B12:B1010="silver hoop earrings for women")*(D12:D1010)*(E12:E1010)) / SUMIFS(E12:E1010, A12:A1010, $L12, B12:B1010, "silver hoop earrings for women")</f>
        <v>0</v>
      </c>
      <c r="O12" s="7" t="e" cm="1">
        <f t="array" ref="O12">SUMPRODUCT((A12:A1010=$L12)*(B12:B1010="hoop earrings")*(D12:D1010)*(E12:E1010)) / SUMIFS(E12:E1010, A12:A1010, $L12, B12:B1010, "hoop earrings")</f>
        <v>#DIV/0!</v>
      </c>
      <c r="P12" s="7" t="e" cm="1">
        <f t="array" ref="P12">SUMPRODUCT((A12:A1010=$L12)*(B12:B1010="silver hoops")*(D12:D1010)*(E12:E1010)) / SUMIFS(E12:E1010, A12:A1010, $L12, B12:B1010, "silver hoops")</f>
        <v>#DIV/0!</v>
      </c>
      <c r="Q12" s="7" t="e" cm="1">
        <f t="array" ref="Q12">SUMPRODUCT((A12:A1010=$L12)*(B12:B1010="sterling silver hoop earrings")*(D12:D1010)*(E12:E1010)) / SUMIFS(E12:E1010, A12:A1010, $L12, B12:B1010, "sterling silver hoop earrings")</f>
        <v>#DIV/0!</v>
      </c>
      <c r="R12" s="7" t="e" cm="1">
        <f t="array" ref="R12">SUMPRODUCT((A12:A1010=$L12)*(B12:B1010="silver hoop earrings")*(D12:D1010)*(E12:E1010)) / SUMIFS(E12:E1010, A12:A1010, $L12, B12:B1010, "silver hoop earrings")</f>
        <v>#DIV/0!</v>
      </c>
      <c r="S12" s="7" t="e" cm="1">
        <f t="array" ref="S12">SUMPRODUCT((A12:A1010=$L12)*(B12:B1010="925 sterling silver earrings")*(D12:D1010)*(E12:E1010)) / SUMIFS(E12:E1010, A12:A1010, $L12, B12:B1010, "925 sterling silver earrings")</f>
        <v>#DIV/0!</v>
      </c>
      <c r="T12" s="7" t="e" cm="1">
        <f t="array" ref="T12">SUMPRODUCT((A12:A1010=$L12)*(B12:B1010="hoops")*(D12:D1010)*(E12:E1010)) / SUMIFS(E12:E1010, A12:A1010, $L12, B12:B1010, "hoops")</f>
        <v>#DIV/0!</v>
      </c>
      <c r="U12" s="7" t="e" cm="1">
        <f t="array" ref="U12">SUMPRODUCT((A12:A1010=$L12)*(B12:B1010="hoops earrings for women")*(D12:D1010)*(E12:E1010)) / SUMIFS(E12:E1010, A12:A1010, $L12, B12:B1010, "hoops earrings for women")</f>
        <v>#DIV/0!</v>
      </c>
      <c r="V12" s="7" t="e" cm="1">
        <f t="array" ref="V12">SUMPRODUCT((A12:A1010=$L12)*(B12:B1010="silver hoops earrings for women")*(D12:D1010)*(E12:E1010)) / SUMIFS(E12:E1010, A12:A1010, $L12, B12:B1010, "silver hoops earrings for women")</f>
        <v>#DIV/0!</v>
      </c>
    </row>
    <row r="13" spans="1:23" x14ac:dyDescent="0.2">
      <c r="A13">
        <v>20250106</v>
      </c>
      <c r="B13" t="s">
        <v>19</v>
      </c>
      <c r="C13" t="s">
        <v>15</v>
      </c>
      <c r="D13">
        <v>4</v>
      </c>
      <c r="E13">
        <v>2</v>
      </c>
      <c r="F13">
        <v>0</v>
      </c>
      <c r="G13">
        <v>0</v>
      </c>
      <c r="H13" s="1">
        <f t="shared" si="0"/>
        <v>45663</v>
      </c>
      <c r="I13">
        <f t="shared" si="1"/>
        <v>2</v>
      </c>
      <c r="L13" s="9" t="s">
        <v>54</v>
      </c>
      <c r="M13" t="e" cm="1">
        <f t="array" ref="M13">SUMPRODUCT((A13:A1011=$L13)*(B13:B1011="sterling silver earrings")*(D13:D1011)*(E13:E1011)) / SUMIFS(E13:E1011, A13:A1011, $L13, B13:B1011, "sterling silver earrings")</f>
        <v>#DIV/0!</v>
      </c>
      <c r="N13" s="7" cm="1">
        <f t="array" ref="N13">SUMPRODUCT((A13:A1011=$L13)*(B13:B1011="silver hoop earrings for women")*(D13:D1011)*(E13:E1011)) / SUMIFS(E13:E1011, A13:A1011, $L13, B13:B1011, "silver hoop earrings for women")</f>
        <v>0</v>
      </c>
      <c r="O13" s="7" t="e" cm="1">
        <f t="array" ref="O13">SUMPRODUCT((A13:A1011=$L13)*(B13:B1011="hoop earrings")*(D13:D1011)*(E13:E1011)) / SUMIFS(E13:E1011, A13:A1011, $L13, B13:B1011, "hoop earrings")</f>
        <v>#DIV/0!</v>
      </c>
      <c r="P13" s="7" t="e" cm="1">
        <f t="array" ref="P13">SUMPRODUCT((A13:A1011=$L13)*(B13:B1011="silver hoops")*(D13:D1011)*(E13:E1011)) / SUMIFS(E13:E1011, A13:A1011, $L13, B13:B1011, "silver hoops")</f>
        <v>#DIV/0!</v>
      </c>
      <c r="Q13" s="7" t="e" cm="1">
        <f t="array" ref="Q13">SUMPRODUCT((A13:A1011=$L13)*(B13:B1011="sterling silver hoop earrings")*(D13:D1011)*(E13:E1011)) / SUMIFS(E13:E1011, A13:A1011, $L13, B13:B1011, "sterling silver hoop earrings")</f>
        <v>#DIV/0!</v>
      </c>
      <c r="R13" s="7" t="e" cm="1">
        <f t="array" ref="R13">SUMPRODUCT((A13:A1011=$L13)*(B13:B1011="silver hoop earrings")*(D13:D1011)*(E13:E1011)) / SUMIFS(E13:E1011, A13:A1011, $L13, B13:B1011, "silver hoop earrings")</f>
        <v>#DIV/0!</v>
      </c>
      <c r="S13" s="7" t="e" cm="1">
        <f t="array" ref="S13">SUMPRODUCT((A13:A1011=$L13)*(B13:B1011="925 sterling silver earrings")*(D13:D1011)*(E13:E1011)) / SUMIFS(E13:E1011, A13:A1011, $L13, B13:B1011, "925 sterling silver earrings")</f>
        <v>#DIV/0!</v>
      </c>
      <c r="T13" s="7" t="e" cm="1">
        <f t="array" ref="T13">SUMPRODUCT((A13:A1011=$L13)*(B13:B1011="hoops")*(D13:D1011)*(E13:E1011)) / SUMIFS(E13:E1011, A13:A1011, $L13, B13:B1011, "hoops")</f>
        <v>#DIV/0!</v>
      </c>
      <c r="U13" s="7" t="e" cm="1">
        <f t="array" ref="U13">SUMPRODUCT((A13:A1011=$L13)*(B13:B1011="hoops earrings for women")*(D13:D1011)*(E13:E1011)) / SUMIFS(E13:E1011, A13:A1011, $L13, B13:B1011, "hoops earrings for women")</f>
        <v>#DIV/0!</v>
      </c>
      <c r="V13" s="7" t="e" cm="1">
        <f t="array" ref="V13">SUMPRODUCT((A13:A1011=$L13)*(B13:B1011="silver hoops earrings for women")*(D13:D1011)*(E13:E1011)) / SUMIFS(E13:E1011, A13:A1011, $L13, B13:B1011, "silver hoops earrings for women")</f>
        <v>#DIV/0!</v>
      </c>
    </row>
    <row r="14" spans="1:23" x14ac:dyDescent="0.2">
      <c r="A14">
        <v>20250106</v>
      </c>
      <c r="B14" t="s">
        <v>16</v>
      </c>
      <c r="C14" t="s">
        <v>13</v>
      </c>
      <c r="D14">
        <v>2</v>
      </c>
      <c r="E14">
        <v>1</v>
      </c>
      <c r="F14">
        <v>0</v>
      </c>
      <c r="G14">
        <v>0</v>
      </c>
      <c r="H14" s="1">
        <f t="shared" si="0"/>
        <v>45663</v>
      </c>
      <c r="I14">
        <f t="shared" si="1"/>
        <v>2</v>
      </c>
      <c r="L14" s="9" t="s">
        <v>55</v>
      </c>
      <c r="M14" cm="1">
        <f t="array" ref="M14">SUMPRODUCT((A14:A1012=$L14)*(B14:B1012="sterling silver earrings")*(D14:D1012)*(E14:E1012)) / SUMIFS(E14:E1012, A14:A1012, $L14, B14:B1012, "sterling silver earrings")</f>
        <v>0</v>
      </c>
      <c r="N14" s="7" cm="1">
        <f t="array" ref="N14">SUMPRODUCT((A14:A1012=$L14)*(B14:B1012="silver hoop earrings for women")*(D14:D1012)*(E14:E1012)) / SUMIFS(E14:E1012, A14:A1012, $L14, B14:B1012, "silver hoop earrings for women")</f>
        <v>0</v>
      </c>
      <c r="O14" s="7" t="e" cm="1">
        <f t="array" ref="O14">SUMPRODUCT((A14:A1012=$L14)*(B14:B1012="hoop earrings")*(D14:D1012)*(E14:E1012)) / SUMIFS(E14:E1012, A14:A1012, $L14, B14:B1012, "hoop earrings")</f>
        <v>#DIV/0!</v>
      </c>
      <c r="P14" s="7" t="e" cm="1">
        <f t="array" ref="P14">SUMPRODUCT((A14:A1012=$L14)*(B14:B1012="silver hoops")*(D14:D1012)*(E14:E1012)) / SUMIFS(E14:E1012, A14:A1012, $L14, B14:B1012, "silver hoops")</f>
        <v>#DIV/0!</v>
      </c>
      <c r="Q14" s="7" t="e" cm="1">
        <f t="array" ref="Q14">SUMPRODUCT((A14:A1012=$L14)*(B14:B1012="sterling silver hoop earrings")*(D14:D1012)*(E14:E1012)) / SUMIFS(E14:E1012, A14:A1012, $L14, B14:B1012, "sterling silver hoop earrings")</f>
        <v>#DIV/0!</v>
      </c>
      <c r="R14" s="7" t="e" cm="1">
        <f t="array" ref="R14">SUMPRODUCT((A14:A1012=$L14)*(B14:B1012="silver hoop earrings")*(D14:D1012)*(E14:E1012)) / SUMIFS(E14:E1012, A14:A1012, $L14, B14:B1012, "silver hoop earrings")</f>
        <v>#DIV/0!</v>
      </c>
      <c r="S14" s="7" t="e" cm="1">
        <f t="array" ref="S14">SUMPRODUCT((A14:A1012=$L14)*(B14:B1012="925 sterling silver earrings")*(D14:D1012)*(E14:E1012)) / SUMIFS(E14:E1012, A14:A1012, $L14, B14:B1012, "925 sterling silver earrings")</f>
        <v>#DIV/0!</v>
      </c>
      <c r="T14" s="7" t="e" cm="1">
        <f t="array" ref="T14">SUMPRODUCT((A14:A1012=$L14)*(B14:B1012="hoops")*(D14:D1012)*(E14:E1012)) / SUMIFS(E14:E1012, A14:A1012, $L14, B14:B1012, "hoops")</f>
        <v>#DIV/0!</v>
      </c>
      <c r="U14" s="7" t="e" cm="1">
        <f t="array" ref="U14">SUMPRODUCT((A14:A1012=$L14)*(B14:B1012="hoops earrings for women")*(D14:D1012)*(E14:E1012)) / SUMIFS(E14:E1012, A14:A1012, $L14, B14:B1012, "hoops earrings for women")</f>
        <v>#DIV/0!</v>
      </c>
      <c r="V14" s="7" t="e" cm="1">
        <f t="array" ref="V14">SUMPRODUCT((A14:A1012=$L14)*(B14:B1012="silver hoops earrings for women")*(D14:D1012)*(E14:E1012)) / SUMIFS(E14:E1012, A14:A1012, $L14, B14:B1012, "silver hoops earrings for women")</f>
        <v>#DIV/0!</v>
      </c>
    </row>
    <row r="15" spans="1:23" x14ac:dyDescent="0.2">
      <c r="A15">
        <v>20250106</v>
      </c>
      <c r="B15" t="s">
        <v>16</v>
      </c>
      <c r="C15" t="s">
        <v>8</v>
      </c>
      <c r="D15">
        <v>1</v>
      </c>
      <c r="E15">
        <v>38</v>
      </c>
      <c r="F15">
        <v>0</v>
      </c>
      <c r="G15">
        <v>0</v>
      </c>
      <c r="H15" s="1">
        <f t="shared" si="0"/>
        <v>45663</v>
      </c>
      <c r="I15">
        <f t="shared" si="1"/>
        <v>2</v>
      </c>
      <c r="L15" s="9" t="s">
        <v>56</v>
      </c>
      <c r="M15" t="e" cm="1">
        <f t="array" ref="M15">SUMPRODUCT((A15:A1013=$L15)*(B15:B1013="sterling silver earrings")*(D15:D1013)*(E15:E1013)) / SUMIFS(E15:E1013, A15:A1013, $L15, B15:B1013, "sterling silver earrings")</f>
        <v>#DIV/0!</v>
      </c>
      <c r="N15" s="7" cm="1">
        <f t="array" ref="N15">SUMPRODUCT((A15:A1013=$L15)*(B15:B1013="silver hoop earrings for women")*(D15:D1013)*(E15:E1013)) / SUMIFS(E15:E1013, A15:A1013, $L15, B15:B1013, "silver hoop earrings for women")</f>
        <v>0</v>
      </c>
      <c r="O15" s="7" t="e" cm="1">
        <f t="array" ref="O15">SUMPRODUCT((A15:A1013=$L15)*(B15:B1013="hoop earrings")*(D15:D1013)*(E15:E1013)) / SUMIFS(E15:E1013, A15:A1013, $L15, B15:B1013, "hoop earrings")</f>
        <v>#DIV/0!</v>
      </c>
      <c r="P15" s="7" cm="1">
        <f t="array" ref="P15">SUMPRODUCT((A15:A1013=$L15)*(B15:B1013="silver hoops")*(D15:D1013)*(E15:E1013)) / SUMIFS(E15:E1013, A15:A1013, $L15, B15:B1013, "silver hoops")</f>
        <v>0</v>
      </c>
      <c r="Q15" s="7" cm="1">
        <f t="array" ref="Q15">SUMPRODUCT((A15:A1013=$L15)*(B15:B1013="sterling silver hoop earrings")*(D15:D1013)*(E15:E1013)) / SUMIFS(E15:E1013, A15:A1013, $L15, B15:B1013, "sterling silver hoop earrings")</f>
        <v>0</v>
      </c>
      <c r="R15" s="7" cm="1">
        <f t="array" ref="R15">SUMPRODUCT((A15:A1013=$L15)*(B15:B1013="silver hoop earrings")*(D15:D1013)*(E15:E1013)) / SUMIFS(E15:E1013, A15:A1013, $L15, B15:B1013, "silver hoop earrings")</f>
        <v>0</v>
      </c>
      <c r="S15" s="7" t="e" cm="1">
        <f t="array" ref="S15">SUMPRODUCT((A15:A1013=$L15)*(B15:B1013="925 sterling silver earrings")*(D15:D1013)*(E15:E1013)) / SUMIFS(E15:E1013, A15:A1013, $L15, B15:B1013, "925 sterling silver earrings")</f>
        <v>#DIV/0!</v>
      </c>
      <c r="T15" s="7" t="e" cm="1">
        <f t="array" ref="T15">SUMPRODUCT((A15:A1013=$L15)*(B15:B1013="hoops")*(D15:D1013)*(E15:E1013)) / SUMIFS(E15:E1013, A15:A1013, $L15, B15:B1013, "hoops")</f>
        <v>#DIV/0!</v>
      </c>
      <c r="U15" s="7" t="e" cm="1">
        <f t="array" ref="U15">SUMPRODUCT((A15:A1013=$L15)*(B15:B1013="hoops earrings for women")*(D15:D1013)*(E15:E1013)) / SUMIFS(E15:E1013, A15:A1013, $L15, B15:B1013, "hoops earrings for women")</f>
        <v>#DIV/0!</v>
      </c>
      <c r="V15" s="7" t="e" cm="1">
        <f t="array" ref="V15">SUMPRODUCT((A15:A1013=$L15)*(B15:B1013="silver hoops earrings for women")*(D15:D1013)*(E15:E1013)) / SUMIFS(E15:E1013, A15:A1013, $L15, B15:B1013, "silver hoops earrings for women")</f>
        <v>#DIV/0!</v>
      </c>
    </row>
    <row r="16" spans="1:23" x14ac:dyDescent="0.2">
      <c r="A16">
        <v>20250106</v>
      </c>
      <c r="B16" t="s">
        <v>7</v>
      </c>
      <c r="C16" t="s">
        <v>8</v>
      </c>
      <c r="D16">
        <v>4</v>
      </c>
      <c r="E16">
        <v>1</v>
      </c>
      <c r="F16">
        <v>0</v>
      </c>
      <c r="G16">
        <v>0</v>
      </c>
      <c r="H16" s="1">
        <f t="shared" si="0"/>
        <v>45663</v>
      </c>
      <c r="I16">
        <f t="shared" si="1"/>
        <v>2</v>
      </c>
      <c r="L16" s="9" t="s">
        <v>57</v>
      </c>
      <c r="M16" t="e" cm="1">
        <f t="array" ref="M16">SUMPRODUCT((A16:A1014=$L16)*(B16:B1014="sterling silver earrings")*(D16:D1014)*(E16:E1014)) / SUMIFS(E16:E1014, A16:A1014, $L16, B16:B1014, "sterling silver earrings")</f>
        <v>#DIV/0!</v>
      </c>
      <c r="N16" s="7" t="e" cm="1">
        <f t="array" ref="N16">SUMPRODUCT((A16:A1014=$L16)*(B16:B1014="silver hoop earrings for women")*(D16:D1014)*(E16:E1014)) / SUMIFS(E16:E1014, A16:A1014, $L16, B16:B1014, "silver hoop earrings for women")</f>
        <v>#DIV/0!</v>
      </c>
      <c r="O16" s="7" t="e" cm="1">
        <f t="array" ref="O16">SUMPRODUCT((A16:A1014=$L16)*(B16:B1014="hoop earrings")*(D16:D1014)*(E16:E1014)) / SUMIFS(E16:E1014, A16:A1014, $L16, B16:B1014, "hoop earrings")</f>
        <v>#DIV/0!</v>
      </c>
      <c r="P16" s="7" t="e" cm="1">
        <f t="array" ref="P16">SUMPRODUCT((A16:A1014=$L16)*(B16:B1014="silver hoops")*(D16:D1014)*(E16:E1014)) / SUMIFS(E16:E1014, A16:A1014, $L16, B16:B1014, "silver hoops")</f>
        <v>#DIV/0!</v>
      </c>
      <c r="Q16" s="7" t="e" cm="1">
        <f t="array" ref="Q16">SUMPRODUCT((A16:A1014=$L16)*(B16:B1014="sterling silver hoop earrings")*(D16:D1014)*(E16:E1014)) / SUMIFS(E16:E1014, A16:A1014, $L16, B16:B1014, "sterling silver hoop earrings")</f>
        <v>#DIV/0!</v>
      </c>
      <c r="R16" s="7" t="e" cm="1">
        <f t="array" ref="R16">SUMPRODUCT((A16:A1014=$L16)*(B16:B1014="silver hoop earrings")*(D16:D1014)*(E16:E1014)) / SUMIFS(E16:E1014, A16:A1014, $L16, B16:B1014, "silver hoop earrings")</f>
        <v>#DIV/0!</v>
      </c>
      <c r="S16" s="7" t="e" cm="1">
        <f t="array" ref="S16">SUMPRODUCT((A16:A1014=$L16)*(B16:B1014="925 sterling silver earrings")*(D16:D1014)*(E16:E1014)) / SUMIFS(E16:E1014, A16:A1014, $L16, B16:B1014, "925 sterling silver earrings")</f>
        <v>#DIV/0!</v>
      </c>
      <c r="T16" s="7" t="e" cm="1">
        <f t="array" ref="T16">SUMPRODUCT((A16:A1014=$L16)*(B16:B1014="hoops")*(D16:D1014)*(E16:E1014)) / SUMIFS(E16:E1014, A16:A1014, $L16, B16:B1014, "hoops")</f>
        <v>#DIV/0!</v>
      </c>
      <c r="U16" s="7" t="e" cm="1">
        <f t="array" ref="U16">SUMPRODUCT((A16:A1014=$L16)*(B16:B1014="hoops earrings for women")*(D16:D1014)*(E16:E1014)) / SUMIFS(E16:E1014, A16:A1014, $L16, B16:B1014, "hoops earrings for women")</f>
        <v>#DIV/0!</v>
      </c>
      <c r="V16" s="7" t="e" cm="1">
        <f t="array" ref="V16">SUMPRODUCT((A16:A1014=$L16)*(B16:B1014="silver hoops earrings for women")*(D16:D1014)*(E16:E1014)) / SUMIFS(E16:E1014, A16:A1014, $L16, B16:B1014, "silver hoops earrings for women")</f>
        <v>#DIV/0!</v>
      </c>
    </row>
    <row r="17" spans="1:22" x14ac:dyDescent="0.2">
      <c r="A17">
        <v>20250106</v>
      </c>
      <c r="B17" t="s">
        <v>14</v>
      </c>
      <c r="C17" t="s">
        <v>15</v>
      </c>
      <c r="D17">
        <v>3</v>
      </c>
      <c r="E17">
        <v>45</v>
      </c>
      <c r="F17">
        <v>0</v>
      </c>
      <c r="G17">
        <v>2</v>
      </c>
      <c r="H17" s="1">
        <f t="shared" si="0"/>
        <v>45663</v>
      </c>
      <c r="I17">
        <f t="shared" si="1"/>
        <v>2</v>
      </c>
      <c r="L17" s="9" t="s">
        <v>58</v>
      </c>
      <c r="M17" t="e" cm="1">
        <f t="array" ref="M17">SUMPRODUCT((A17:A1015=$L17)*(B17:B1015="sterling silver earrings")*(D17:D1015)*(E17:E1015)) / SUMIFS(E17:E1015, A17:A1015, $L17, B17:B1015, "sterling silver earrings")</f>
        <v>#DIV/0!</v>
      </c>
      <c r="N17" s="7" t="e" cm="1">
        <f t="array" ref="N17">SUMPRODUCT((A17:A1015=$L17)*(B17:B1015="silver hoop earrings for women")*(D17:D1015)*(E17:E1015)) / SUMIFS(E17:E1015, A17:A1015, $L17, B17:B1015, "silver hoop earrings for women")</f>
        <v>#DIV/0!</v>
      </c>
      <c r="O17" s="7" t="e" cm="1">
        <f t="array" ref="O17">SUMPRODUCT((A17:A1015=$L17)*(B17:B1015="hoop earrings")*(D17:D1015)*(E17:E1015)) / SUMIFS(E17:E1015, A17:A1015, $L17, B17:B1015, "hoop earrings")</f>
        <v>#DIV/0!</v>
      </c>
      <c r="P17" s="7" t="e" cm="1">
        <f t="array" ref="P17">SUMPRODUCT((A17:A1015=$L17)*(B17:B1015="silver hoops")*(D17:D1015)*(E17:E1015)) / SUMIFS(E17:E1015, A17:A1015, $L17, B17:B1015, "silver hoops")</f>
        <v>#DIV/0!</v>
      </c>
      <c r="Q17" s="7" t="e" cm="1">
        <f t="array" ref="Q17">SUMPRODUCT((A17:A1015=$L17)*(B17:B1015="sterling silver hoop earrings")*(D17:D1015)*(E17:E1015)) / SUMIFS(E17:E1015, A17:A1015, $L17, B17:B1015, "sterling silver hoop earrings")</f>
        <v>#DIV/0!</v>
      </c>
      <c r="R17" s="7" t="e" cm="1">
        <f t="array" ref="R17">SUMPRODUCT((A17:A1015=$L17)*(B17:B1015="silver hoop earrings")*(D17:D1015)*(E17:E1015)) / SUMIFS(E17:E1015, A17:A1015, $L17, B17:B1015, "silver hoop earrings")</f>
        <v>#DIV/0!</v>
      </c>
      <c r="S17" s="7" t="e" cm="1">
        <f t="array" ref="S17">SUMPRODUCT((A17:A1015=$L17)*(B17:B1015="925 sterling silver earrings")*(D17:D1015)*(E17:E1015)) / SUMIFS(E17:E1015, A17:A1015, $L17, B17:B1015, "925 sterling silver earrings")</f>
        <v>#DIV/0!</v>
      </c>
      <c r="T17" s="7" t="e" cm="1">
        <f t="array" ref="T17">SUMPRODUCT((A17:A1015=$L17)*(B17:B1015="hoops")*(D17:D1015)*(E17:E1015)) / SUMIFS(E17:E1015, A17:A1015, $L17, B17:B1015, "hoops")</f>
        <v>#DIV/0!</v>
      </c>
      <c r="U17" s="7" t="e" cm="1">
        <f t="array" ref="U17">SUMPRODUCT((A17:A1015=$L17)*(B17:B1015="hoops earrings for women")*(D17:D1015)*(E17:E1015)) / SUMIFS(E17:E1015, A17:A1015, $L17, B17:B1015, "hoops earrings for women")</f>
        <v>#DIV/0!</v>
      </c>
      <c r="V17" s="7" t="e" cm="1">
        <f t="array" ref="V17">SUMPRODUCT((A17:A1015=$L17)*(B17:B1015="silver hoops earrings for women")*(D17:D1015)*(E17:E1015)) / SUMIFS(E17:E1015, A17:A1015, $L17, B17:B1015, "silver hoops earrings for women")</f>
        <v>#DIV/0!</v>
      </c>
    </row>
    <row r="18" spans="1:22" x14ac:dyDescent="0.2">
      <c r="A18">
        <v>20250107</v>
      </c>
      <c r="B18" t="s">
        <v>7</v>
      </c>
      <c r="C18" t="s">
        <v>8</v>
      </c>
      <c r="D18">
        <v>3</v>
      </c>
      <c r="E18">
        <v>1.3333333333333299</v>
      </c>
      <c r="F18">
        <v>0</v>
      </c>
      <c r="G18">
        <v>0</v>
      </c>
      <c r="H18" s="1">
        <f t="shared" si="0"/>
        <v>45664</v>
      </c>
      <c r="I18">
        <f t="shared" si="1"/>
        <v>2</v>
      </c>
      <c r="L18" s="9" t="s">
        <v>59</v>
      </c>
      <c r="M18" t="e" cm="1">
        <f t="array" ref="M18">SUMPRODUCT((A18:A1016=$L18)*(B18:B1016="sterling silver earrings")*(D18:D1016)*(E18:E1016)) / SUMIFS(E18:E1016, A18:A1016, $L18, B18:B1016, "sterling silver earrings")</f>
        <v>#DIV/0!</v>
      </c>
      <c r="N18" s="7" t="e" cm="1">
        <f t="array" ref="N18">SUMPRODUCT((A18:A1016=$L18)*(B18:B1016="silver hoop earrings for women")*(D18:D1016)*(E18:E1016)) / SUMIFS(E18:E1016, A18:A1016, $L18, B18:B1016, "silver hoop earrings for women")</f>
        <v>#DIV/0!</v>
      </c>
      <c r="O18" s="7" t="e" cm="1">
        <f t="array" ref="O18">SUMPRODUCT((A18:A1016=$L18)*(B18:B1016="hoop earrings")*(D18:D1016)*(E18:E1016)) / SUMIFS(E18:E1016, A18:A1016, $L18, B18:B1016, "hoop earrings")</f>
        <v>#DIV/0!</v>
      </c>
      <c r="P18" s="7" cm="1">
        <f t="array" ref="P18">SUMPRODUCT((A18:A1016=$L18)*(B18:B1016="silver hoops")*(D18:D1016)*(E18:E1016)) / SUMIFS(E18:E1016, A18:A1016, $L18, B18:B1016, "silver hoops")</f>
        <v>0</v>
      </c>
      <c r="Q18" s="7" cm="1">
        <f t="array" ref="Q18">SUMPRODUCT((A18:A1016=$L18)*(B18:B1016="sterling silver hoop earrings")*(D18:D1016)*(E18:E1016)) / SUMIFS(E18:E1016, A18:A1016, $L18, B18:B1016, "sterling silver hoop earrings")</f>
        <v>0</v>
      </c>
      <c r="R18" s="7" t="e" cm="1">
        <f t="array" ref="R18">SUMPRODUCT((A18:A1016=$L18)*(B18:B1016="silver hoop earrings")*(D18:D1016)*(E18:E1016)) / SUMIFS(E18:E1016, A18:A1016, $L18, B18:B1016, "silver hoop earrings")</f>
        <v>#DIV/0!</v>
      </c>
      <c r="S18" s="7" t="e" cm="1">
        <f t="array" ref="S18">SUMPRODUCT((A18:A1016=$L18)*(B18:B1016="925 sterling silver earrings")*(D18:D1016)*(E18:E1016)) / SUMIFS(E18:E1016, A18:A1016, $L18, B18:B1016, "925 sterling silver earrings")</f>
        <v>#DIV/0!</v>
      </c>
      <c r="T18" s="7" t="e" cm="1">
        <f t="array" ref="T18">SUMPRODUCT((A18:A1016=$L18)*(B18:B1016="hoops")*(D18:D1016)*(E18:E1016)) / SUMIFS(E18:E1016, A18:A1016, $L18, B18:B1016, "hoops")</f>
        <v>#DIV/0!</v>
      </c>
      <c r="U18" s="7" t="e" cm="1">
        <f t="array" ref="U18">SUMPRODUCT((A18:A1016=$L18)*(B18:B1016="hoops earrings for women")*(D18:D1016)*(E18:E1016)) / SUMIFS(E18:E1016, A18:A1016, $L18, B18:B1016, "hoops earrings for women")</f>
        <v>#DIV/0!</v>
      </c>
      <c r="V18" s="7" t="e" cm="1">
        <f t="array" ref="V18">SUMPRODUCT((A18:A1016=$L18)*(B18:B1016="silver hoops earrings for women")*(D18:D1016)*(E18:E1016)) / SUMIFS(E18:E1016, A18:A1016, $L18, B18:B1016, "silver hoops earrings for women")</f>
        <v>#DIV/0!</v>
      </c>
    </row>
    <row r="19" spans="1:22" x14ac:dyDescent="0.2">
      <c r="A19">
        <v>20250107</v>
      </c>
      <c r="B19" t="s">
        <v>9</v>
      </c>
      <c r="C19" t="s">
        <v>18</v>
      </c>
      <c r="D19">
        <v>1</v>
      </c>
      <c r="E19">
        <v>2</v>
      </c>
      <c r="F19">
        <v>0</v>
      </c>
      <c r="G19">
        <v>0</v>
      </c>
      <c r="H19" s="1">
        <f t="shared" si="0"/>
        <v>45664</v>
      </c>
      <c r="I19">
        <f t="shared" si="1"/>
        <v>2</v>
      </c>
      <c r="L19" s="9" t="s">
        <v>60</v>
      </c>
      <c r="M19" cm="1">
        <f t="array" ref="M19">SUMPRODUCT((A19:A1017=$L19)*(B19:B1017="sterling silver earrings")*(D19:D1017)*(E19:E1017)) / SUMIFS(E19:E1017, A19:A1017, $L19, B19:B1017, "sterling silver earrings")</f>
        <v>0</v>
      </c>
      <c r="N19" s="7" t="e" cm="1">
        <f t="array" ref="N19">SUMPRODUCT((A19:A1017=$L19)*(B19:B1017="silver hoop earrings for women")*(D19:D1017)*(E19:E1017)) / SUMIFS(E19:E1017, A19:A1017, $L19, B19:B1017, "silver hoop earrings for women")</f>
        <v>#DIV/0!</v>
      </c>
      <c r="O19" s="7" t="e" cm="1">
        <f t="array" ref="O19">SUMPRODUCT((A19:A1017=$L19)*(B19:B1017="hoop earrings")*(D19:D1017)*(E19:E1017)) / SUMIFS(E19:E1017, A19:A1017, $L19, B19:B1017, "hoop earrings")</f>
        <v>#DIV/0!</v>
      </c>
      <c r="P19" s="7" t="e" cm="1">
        <f t="array" ref="P19">SUMPRODUCT((A19:A1017=$L19)*(B19:B1017="silver hoops")*(D19:D1017)*(E19:E1017)) / SUMIFS(E19:E1017, A19:A1017, $L19, B19:B1017, "silver hoops")</f>
        <v>#DIV/0!</v>
      </c>
      <c r="Q19" s="7" cm="1">
        <f t="array" ref="Q19">SUMPRODUCT((A19:A1017=$L19)*(B19:B1017="sterling silver hoop earrings")*(D19:D1017)*(E19:E1017)) / SUMIFS(E19:E1017, A19:A1017, $L19, B19:B1017, "sterling silver hoop earrings")</f>
        <v>0</v>
      </c>
      <c r="R19" s="7" t="e" cm="1">
        <f t="array" ref="R19">SUMPRODUCT((A19:A1017=$L19)*(B19:B1017="silver hoop earrings")*(D19:D1017)*(E19:E1017)) / SUMIFS(E19:E1017, A19:A1017, $L19, B19:B1017, "silver hoop earrings")</f>
        <v>#DIV/0!</v>
      </c>
      <c r="S19" s="7" cm="1">
        <f t="array" ref="S19">SUMPRODUCT((A19:A1017=$L19)*(B19:B1017="925 sterling silver earrings")*(D19:D1017)*(E19:E1017)) / SUMIFS(E19:E1017, A19:A1017, $L19, B19:B1017, "925 sterling silver earrings")</f>
        <v>0</v>
      </c>
      <c r="T19" s="7" t="e" cm="1">
        <f t="array" ref="T19">SUMPRODUCT((A19:A1017=$L19)*(B19:B1017="hoops")*(D19:D1017)*(E19:E1017)) / SUMIFS(E19:E1017, A19:A1017, $L19, B19:B1017, "hoops")</f>
        <v>#DIV/0!</v>
      </c>
      <c r="U19" s="7" t="e" cm="1">
        <f t="array" ref="U19">SUMPRODUCT((A19:A1017=$L19)*(B19:B1017="hoops earrings for women")*(D19:D1017)*(E19:E1017)) / SUMIFS(E19:E1017, A19:A1017, $L19, B19:B1017, "hoops earrings for women")</f>
        <v>#DIV/0!</v>
      </c>
      <c r="V19" s="7" t="e" cm="1">
        <f t="array" ref="V19">SUMPRODUCT((A19:A1017=$L19)*(B19:B1017="silver hoops earrings for women")*(D19:D1017)*(E19:E1017)) / SUMIFS(E19:E1017, A19:A1017, $L19, B19:B1017, "silver hoops earrings for women")</f>
        <v>#DIV/0!</v>
      </c>
    </row>
    <row r="20" spans="1:22" x14ac:dyDescent="0.2">
      <c r="A20">
        <v>20250107</v>
      </c>
      <c r="B20" t="s">
        <v>10</v>
      </c>
      <c r="C20" t="s">
        <v>22</v>
      </c>
      <c r="D20">
        <v>1</v>
      </c>
      <c r="E20">
        <v>37</v>
      </c>
      <c r="F20">
        <v>0</v>
      </c>
      <c r="G20">
        <v>0</v>
      </c>
      <c r="H20" s="1">
        <f t="shared" si="0"/>
        <v>45664</v>
      </c>
      <c r="I20">
        <f t="shared" si="1"/>
        <v>2</v>
      </c>
      <c r="L20" s="9" t="s">
        <v>61</v>
      </c>
      <c r="M20" t="e" cm="1">
        <f t="array" ref="M20">SUMPRODUCT((A20:A1018=$L20)*(B20:B1018="sterling silver earrings")*(D20:D1018)*(E20:E1018)) / SUMIFS(E20:E1018, A20:A1018, $L20, B20:B1018, "sterling silver earrings")</f>
        <v>#DIV/0!</v>
      </c>
      <c r="N20" s="7" t="e" cm="1">
        <f t="array" ref="N20">SUMPRODUCT((A20:A1018=$L20)*(B20:B1018="silver hoop earrings for women")*(D20:D1018)*(E20:E1018)) / SUMIFS(E20:E1018, A20:A1018, $L20, B20:B1018, "silver hoop earrings for women")</f>
        <v>#DIV/0!</v>
      </c>
      <c r="O20" s="7" cm="1">
        <f t="array" ref="O20">SUMPRODUCT((A20:A1018=$L20)*(B20:B1018="hoop earrings")*(D20:D1018)*(E20:E1018)) / SUMIFS(E20:E1018, A20:A1018, $L20, B20:B1018, "hoop earrings")</f>
        <v>0</v>
      </c>
      <c r="P20" s="7" t="e" cm="1">
        <f t="array" ref="P20">SUMPRODUCT((A20:A1018=$L20)*(B20:B1018="silver hoops")*(D20:D1018)*(E20:E1018)) / SUMIFS(E20:E1018, A20:A1018, $L20, B20:B1018, "silver hoops")</f>
        <v>#DIV/0!</v>
      </c>
      <c r="Q20" s="7" cm="1">
        <f t="array" ref="Q20">SUMPRODUCT((A20:A1018=$L20)*(B20:B1018="sterling silver hoop earrings")*(D20:D1018)*(E20:E1018)) / SUMIFS(E20:E1018, A20:A1018, $L20, B20:B1018, "sterling silver hoop earrings")</f>
        <v>0</v>
      </c>
      <c r="R20" s="7" cm="1">
        <f t="array" ref="R20">SUMPRODUCT((A20:A1018=$L20)*(B20:B1018="silver hoop earrings")*(D20:D1018)*(E20:E1018)) / SUMIFS(E20:E1018, A20:A1018, $L20, B20:B1018, "silver hoop earrings")</f>
        <v>0</v>
      </c>
      <c r="S20" s="7" t="e" cm="1">
        <f t="array" ref="S20">SUMPRODUCT((A20:A1018=$L20)*(B20:B1018="925 sterling silver earrings")*(D20:D1018)*(E20:E1018)) / SUMIFS(E20:E1018, A20:A1018, $L20, B20:B1018, "925 sterling silver earrings")</f>
        <v>#DIV/0!</v>
      </c>
      <c r="T20" s="7" t="e" cm="1">
        <f t="array" ref="T20">SUMPRODUCT((A20:A1018=$L20)*(B20:B1018="hoops")*(D20:D1018)*(E20:E1018)) / SUMIFS(E20:E1018, A20:A1018, $L20, B20:B1018, "hoops")</f>
        <v>#DIV/0!</v>
      </c>
      <c r="U20" s="7" t="e" cm="1">
        <f t="array" ref="U20">SUMPRODUCT((A20:A1018=$L20)*(B20:B1018="hoops earrings for women")*(D20:D1018)*(E20:E1018)) / SUMIFS(E20:E1018, A20:A1018, $L20, B20:B1018, "hoops earrings for women")</f>
        <v>#DIV/0!</v>
      </c>
      <c r="V20" s="7" t="e" cm="1">
        <f t="array" ref="V20">SUMPRODUCT((A20:A1018=$L20)*(B20:B1018="silver hoops earrings for women")*(D20:D1018)*(E20:E1018)) / SUMIFS(E20:E1018, A20:A1018, $L20, B20:B1018, "silver hoops earrings for women")</f>
        <v>#DIV/0!</v>
      </c>
    </row>
    <row r="21" spans="1:22" x14ac:dyDescent="0.2">
      <c r="A21">
        <v>20250108</v>
      </c>
      <c r="B21" t="s">
        <v>16</v>
      </c>
      <c r="C21" t="s">
        <v>8</v>
      </c>
      <c r="D21">
        <v>2</v>
      </c>
      <c r="E21">
        <v>1</v>
      </c>
      <c r="F21">
        <v>0</v>
      </c>
      <c r="G21">
        <v>0</v>
      </c>
      <c r="H21" s="1">
        <f t="shared" si="0"/>
        <v>45665</v>
      </c>
      <c r="I21">
        <f t="shared" si="1"/>
        <v>2</v>
      </c>
      <c r="L21" s="9" t="s">
        <v>62</v>
      </c>
      <c r="M21" cm="1">
        <f t="array" ref="M21">SUMPRODUCT((A21:A1019=$L21)*(B21:B1019="sterling silver earrings")*(D21:D1019)*(E21:E1019)) / SUMIFS(E21:E1019, A21:A1019, $L21, B21:B1019, "sterling silver earrings")</f>
        <v>0</v>
      </c>
      <c r="N21" s="7" cm="1">
        <f t="array" ref="N21">SUMPRODUCT((A21:A1019=$L21)*(B21:B1019="silver hoop earrings for women")*(D21:D1019)*(E21:E1019)) / SUMIFS(E21:E1019, A21:A1019, $L21, B21:B1019, "silver hoop earrings for women")</f>
        <v>0</v>
      </c>
      <c r="O21" s="7" t="e" cm="1">
        <f t="array" ref="O21">SUMPRODUCT((A21:A1019=$L21)*(B21:B1019="hoop earrings")*(D21:D1019)*(E21:E1019)) / SUMIFS(E21:E1019, A21:A1019, $L21, B21:B1019, "hoop earrings")</f>
        <v>#DIV/0!</v>
      </c>
      <c r="P21" s="7" cm="1">
        <f t="array" ref="P21">SUMPRODUCT((A21:A1019=$L21)*(B21:B1019="silver hoops")*(D21:D1019)*(E21:E1019)) / SUMIFS(E21:E1019, A21:A1019, $L21, B21:B1019, "silver hoops")</f>
        <v>0</v>
      </c>
      <c r="Q21" s="7" cm="1">
        <f t="array" ref="Q21">SUMPRODUCT((A21:A1019=$L21)*(B21:B1019="sterling silver hoop earrings")*(D21:D1019)*(E21:E1019)) / SUMIFS(E21:E1019, A21:A1019, $L21, B21:B1019, "sterling silver hoop earrings")</f>
        <v>0</v>
      </c>
      <c r="R21" s="7" cm="1">
        <f t="array" ref="R21">SUMPRODUCT((A21:A1019=$L21)*(B21:B1019="silver hoop earrings")*(D21:D1019)*(E21:E1019)) / SUMIFS(E21:E1019, A21:A1019, $L21, B21:B1019, "silver hoop earrings")</f>
        <v>0</v>
      </c>
      <c r="S21" s="7" t="e" cm="1">
        <f t="array" ref="S21">SUMPRODUCT((A21:A1019=$L21)*(B21:B1019="925 sterling silver earrings")*(D21:D1019)*(E21:E1019)) / SUMIFS(E21:E1019, A21:A1019, $L21, B21:B1019, "925 sterling silver earrings")</f>
        <v>#DIV/0!</v>
      </c>
      <c r="T21" s="7" t="e" cm="1">
        <f t="array" ref="T21">SUMPRODUCT((A21:A1019=$L21)*(B21:B1019="hoops")*(D21:D1019)*(E21:E1019)) / SUMIFS(E21:E1019, A21:A1019, $L21, B21:B1019, "hoops")</f>
        <v>#DIV/0!</v>
      </c>
      <c r="U21" s="7" t="e" cm="1">
        <f t="array" ref="U21">SUMPRODUCT((A21:A1019=$L21)*(B21:B1019="hoops earrings for women")*(D21:D1019)*(E21:E1019)) / SUMIFS(E21:E1019, A21:A1019, $L21, B21:B1019, "hoops earrings for women")</f>
        <v>#DIV/0!</v>
      </c>
      <c r="V21" s="7" t="e" cm="1">
        <f t="array" ref="V21">SUMPRODUCT((A21:A1019=$L21)*(B21:B1019="silver hoops earrings for women")*(D21:D1019)*(E21:E1019)) / SUMIFS(E21:E1019, A21:A1019, $L21, B21:B1019, "silver hoops earrings for women")</f>
        <v>#DIV/0!</v>
      </c>
    </row>
    <row r="22" spans="1:22" x14ac:dyDescent="0.2">
      <c r="A22">
        <v>20250108</v>
      </c>
      <c r="B22" t="s">
        <v>10</v>
      </c>
      <c r="C22" t="s">
        <v>8</v>
      </c>
      <c r="D22">
        <v>1</v>
      </c>
      <c r="E22">
        <v>9</v>
      </c>
      <c r="F22">
        <v>0</v>
      </c>
      <c r="G22">
        <v>0</v>
      </c>
      <c r="H22" s="1">
        <f t="shared" si="0"/>
        <v>45665</v>
      </c>
      <c r="I22">
        <f t="shared" si="1"/>
        <v>2</v>
      </c>
      <c r="L22" s="9" t="s">
        <v>63</v>
      </c>
      <c r="M22" t="e" cm="1">
        <f t="array" ref="M22">SUMPRODUCT((A22:A1020=$L22)*(B22:B1020="sterling silver earrings")*(D22:D1020)*(E22:E1020)) / SUMIFS(E22:E1020, A22:A1020, $L22, B22:B1020, "sterling silver earrings")</f>
        <v>#DIV/0!</v>
      </c>
      <c r="N22" s="7" t="e" cm="1">
        <f t="array" ref="N22">SUMPRODUCT((A22:A1020=$L22)*(B22:B1020="silver hoop earrings for women")*(D22:D1020)*(E22:E1020)) / SUMIFS(E22:E1020, A22:A1020, $L22, B22:B1020, "silver hoop earrings for women")</f>
        <v>#DIV/0!</v>
      </c>
      <c r="O22" s="7" t="e" cm="1">
        <f t="array" ref="O22">SUMPRODUCT((A22:A1020=$L22)*(B22:B1020="hoop earrings")*(D22:D1020)*(E22:E1020)) / SUMIFS(E22:E1020, A22:A1020, $L22, B22:B1020, "hoop earrings")</f>
        <v>#DIV/0!</v>
      </c>
      <c r="P22" s="7" t="e" cm="1">
        <f t="array" ref="P22">SUMPRODUCT((A22:A1020=$L22)*(B22:B1020="silver hoops")*(D22:D1020)*(E22:E1020)) / SUMIFS(E22:E1020, A22:A1020, $L22, B22:B1020, "silver hoops")</f>
        <v>#DIV/0!</v>
      </c>
      <c r="Q22" s="7" cm="1">
        <f t="array" ref="Q22">SUMPRODUCT((A22:A1020=$L22)*(B22:B1020="sterling silver hoop earrings")*(D22:D1020)*(E22:E1020)) / SUMIFS(E22:E1020, A22:A1020, $L22, B22:B1020, "sterling silver hoop earrings")</f>
        <v>0</v>
      </c>
      <c r="R22" s="7" cm="1">
        <f t="array" ref="R22">SUMPRODUCT((A22:A1020=$L22)*(B22:B1020="silver hoop earrings")*(D22:D1020)*(E22:E1020)) / SUMIFS(E22:E1020, A22:A1020, $L22, B22:B1020, "silver hoop earrings")</f>
        <v>0</v>
      </c>
      <c r="S22" s="7" t="e" cm="1">
        <f t="array" ref="S22">SUMPRODUCT((A22:A1020=$L22)*(B22:B1020="925 sterling silver earrings")*(D22:D1020)*(E22:E1020)) / SUMIFS(E22:E1020, A22:A1020, $L22, B22:B1020, "925 sterling silver earrings")</f>
        <v>#DIV/0!</v>
      </c>
      <c r="T22" s="7" t="e" cm="1">
        <f t="array" ref="T22">SUMPRODUCT((A22:A1020=$L22)*(B22:B1020="hoops")*(D22:D1020)*(E22:E1020)) / SUMIFS(E22:E1020, A22:A1020, $L22, B22:B1020, "hoops")</f>
        <v>#DIV/0!</v>
      </c>
      <c r="U22" s="7" t="e" cm="1">
        <f t="array" ref="U22">SUMPRODUCT((A22:A1020=$L22)*(B22:B1020="hoops earrings for women")*(D22:D1020)*(E22:E1020)) / SUMIFS(E22:E1020, A22:A1020, $L22, B22:B1020, "hoops earrings for women")</f>
        <v>#DIV/0!</v>
      </c>
      <c r="V22" s="7" t="e" cm="1">
        <f t="array" ref="V22">SUMPRODUCT((A22:A1020=$L22)*(B22:B1020="silver hoops earrings for women")*(D22:D1020)*(E22:E1020)) / SUMIFS(E22:E1020, A22:A1020, $L22, B22:B1020, "silver hoops earrings for women")</f>
        <v>#DIV/0!</v>
      </c>
    </row>
    <row r="23" spans="1:22" x14ac:dyDescent="0.2">
      <c r="A23">
        <v>20250109</v>
      </c>
      <c r="B23" t="s">
        <v>14</v>
      </c>
      <c r="C23" t="s">
        <v>13</v>
      </c>
      <c r="D23">
        <v>1</v>
      </c>
      <c r="E23">
        <v>12</v>
      </c>
      <c r="F23">
        <v>0</v>
      </c>
      <c r="G23">
        <v>0</v>
      </c>
      <c r="H23" s="1">
        <f t="shared" si="0"/>
        <v>45666</v>
      </c>
      <c r="I23">
        <f t="shared" si="1"/>
        <v>2</v>
      </c>
      <c r="L23" s="9" t="s">
        <v>64</v>
      </c>
      <c r="M23" t="e" cm="1">
        <f t="array" ref="M23">SUMPRODUCT((A23:A1021=$L23)*(B23:B1021="sterling silver earrings")*(D23:D1021)*(E23:E1021)) / SUMIFS(E23:E1021, A23:A1021, $L23, B23:B1021, "sterling silver earrings")</f>
        <v>#DIV/0!</v>
      </c>
      <c r="N23" s="7" cm="1">
        <f t="array" ref="N23">SUMPRODUCT((A23:A1021=$L23)*(B23:B1021="silver hoop earrings for women")*(D23:D1021)*(E23:E1021)) / SUMIFS(E23:E1021, A23:A1021, $L23, B23:B1021, "silver hoop earrings for women")</f>
        <v>0</v>
      </c>
      <c r="O23" s="7" t="e" cm="1">
        <f t="array" ref="O23">SUMPRODUCT((A23:A1021=$L23)*(B23:B1021="hoop earrings")*(D23:D1021)*(E23:E1021)) / SUMIFS(E23:E1021, A23:A1021, $L23, B23:B1021, "hoop earrings")</f>
        <v>#DIV/0!</v>
      </c>
      <c r="P23" s="7" t="e" cm="1">
        <f t="array" ref="P23">SUMPRODUCT((A23:A1021=$L23)*(B23:B1021="silver hoops")*(D23:D1021)*(E23:E1021)) / SUMIFS(E23:E1021, A23:A1021, $L23, B23:B1021, "silver hoops")</f>
        <v>#DIV/0!</v>
      </c>
      <c r="Q23" s="7" t="e" cm="1">
        <f t="array" ref="Q23">SUMPRODUCT((A23:A1021=$L23)*(B23:B1021="sterling silver hoop earrings")*(D23:D1021)*(E23:E1021)) / SUMIFS(E23:E1021, A23:A1021, $L23, B23:B1021, "sterling silver hoop earrings")</f>
        <v>#DIV/0!</v>
      </c>
      <c r="R23" s="7" cm="1">
        <f t="array" ref="R23">SUMPRODUCT((A23:A1021=$L23)*(B23:B1021="silver hoop earrings")*(D23:D1021)*(E23:E1021)) / SUMIFS(E23:E1021, A23:A1021, $L23, B23:B1021, "silver hoop earrings")</f>
        <v>0</v>
      </c>
      <c r="S23" s="7" t="e" cm="1">
        <f t="array" ref="S23">SUMPRODUCT((A23:A1021=$L23)*(B23:B1021="925 sterling silver earrings")*(D23:D1021)*(E23:E1021)) / SUMIFS(E23:E1021, A23:A1021, $L23, B23:B1021, "925 sterling silver earrings")</f>
        <v>#DIV/0!</v>
      </c>
      <c r="T23" s="7" t="e" cm="1">
        <f t="array" ref="T23">SUMPRODUCT((A23:A1021=$L23)*(B23:B1021="hoops")*(D23:D1021)*(E23:E1021)) / SUMIFS(E23:E1021, A23:A1021, $L23, B23:B1021, "hoops")</f>
        <v>#DIV/0!</v>
      </c>
      <c r="U23" s="7" t="e" cm="1">
        <f t="array" ref="U23">SUMPRODUCT((A23:A1021=$L23)*(B23:B1021="hoops earrings for women")*(D23:D1021)*(E23:E1021)) / SUMIFS(E23:E1021, A23:A1021, $L23, B23:B1021, "hoops earrings for women")</f>
        <v>#DIV/0!</v>
      </c>
      <c r="V23" s="7" t="e" cm="1">
        <f t="array" ref="V23">SUMPRODUCT((A23:A1021=$L23)*(B23:B1021="silver hoops earrings for women")*(D23:D1021)*(E23:E1021)) / SUMIFS(E23:E1021, A23:A1021, $L23, B23:B1021, "silver hoops earrings for women")</f>
        <v>#DIV/0!</v>
      </c>
    </row>
    <row r="24" spans="1:22" x14ac:dyDescent="0.2">
      <c r="A24">
        <v>20250109</v>
      </c>
      <c r="B24" t="s">
        <v>10</v>
      </c>
      <c r="C24" t="s">
        <v>8</v>
      </c>
      <c r="D24">
        <v>5</v>
      </c>
      <c r="E24">
        <v>35</v>
      </c>
      <c r="F24">
        <v>0</v>
      </c>
      <c r="G24">
        <v>0</v>
      </c>
      <c r="H24" s="1">
        <f t="shared" si="0"/>
        <v>45666</v>
      </c>
      <c r="I24">
        <f t="shared" si="1"/>
        <v>2</v>
      </c>
      <c r="L24" s="9" t="s">
        <v>65</v>
      </c>
      <c r="M24" cm="1">
        <f t="array" ref="M24">SUMPRODUCT((A24:A1022=$L24)*(B24:B1022="sterling silver earrings")*(D24:D1022)*(E24:E1022)) / SUMIFS(E24:E1022, A24:A1022, $L24, B24:B1022, "sterling silver earrings")</f>
        <v>0</v>
      </c>
      <c r="N24" s="7" cm="1">
        <f t="array" ref="N24">SUMPRODUCT((A24:A1022=$L24)*(B24:B1022="silver hoop earrings for women")*(D24:D1022)*(E24:E1022)) / SUMIFS(E24:E1022, A24:A1022, $L24, B24:B1022, "silver hoop earrings for women")</f>
        <v>0</v>
      </c>
      <c r="O24" s="7" t="e" cm="1">
        <f t="array" ref="O24">SUMPRODUCT((A24:A1022=$L24)*(B24:B1022="hoop earrings")*(D24:D1022)*(E24:E1022)) / SUMIFS(E24:E1022, A24:A1022, $L24, B24:B1022, "hoop earrings")</f>
        <v>#DIV/0!</v>
      </c>
      <c r="P24" s="7" t="e" cm="1">
        <f t="array" ref="P24">SUMPRODUCT((A24:A1022=$L24)*(B24:B1022="silver hoops")*(D24:D1022)*(E24:E1022)) / SUMIFS(E24:E1022, A24:A1022, $L24, B24:B1022, "silver hoops")</f>
        <v>#DIV/0!</v>
      </c>
      <c r="Q24" s="7" t="e" cm="1">
        <f t="array" ref="Q24">SUMPRODUCT((A24:A1022=$L24)*(B24:B1022="sterling silver hoop earrings")*(D24:D1022)*(E24:E1022)) / SUMIFS(E24:E1022, A24:A1022, $L24, B24:B1022, "sterling silver hoop earrings")</f>
        <v>#DIV/0!</v>
      </c>
      <c r="R24" s="7" t="e" cm="1">
        <f t="array" ref="R24">SUMPRODUCT((A24:A1022=$L24)*(B24:B1022="silver hoop earrings")*(D24:D1022)*(E24:E1022)) / SUMIFS(E24:E1022, A24:A1022, $L24, B24:B1022, "silver hoop earrings")</f>
        <v>#DIV/0!</v>
      </c>
      <c r="S24" s="7" t="e" cm="1">
        <f t="array" ref="S24">SUMPRODUCT((A24:A1022=$L24)*(B24:B1022="925 sterling silver earrings")*(D24:D1022)*(E24:E1022)) / SUMIFS(E24:E1022, A24:A1022, $L24, B24:B1022, "925 sterling silver earrings")</f>
        <v>#DIV/0!</v>
      </c>
      <c r="T24" s="7" t="e" cm="1">
        <f t="array" ref="T24">SUMPRODUCT((A24:A1022=$L24)*(B24:B1022="hoops")*(D24:D1022)*(E24:E1022)) / SUMIFS(E24:E1022, A24:A1022, $L24, B24:B1022, "hoops")</f>
        <v>#DIV/0!</v>
      </c>
      <c r="U24" s="7" t="e" cm="1">
        <f t="array" ref="U24">SUMPRODUCT((A24:A1022=$L24)*(B24:B1022="hoops earrings for women")*(D24:D1022)*(E24:E1022)) / SUMIFS(E24:E1022, A24:A1022, $L24, B24:B1022, "hoops earrings for women")</f>
        <v>#DIV/0!</v>
      </c>
      <c r="V24" s="7" t="e" cm="1">
        <f t="array" ref="V24">SUMPRODUCT((A24:A1022=$L24)*(B24:B1022="silver hoops earrings for women")*(D24:D1022)*(E24:E1022)) / SUMIFS(E24:E1022, A24:A1022, $L24, B24:B1022, "silver hoops earrings for women")</f>
        <v>#DIV/0!</v>
      </c>
    </row>
    <row r="25" spans="1:22" x14ac:dyDescent="0.2">
      <c r="A25">
        <v>20250110</v>
      </c>
      <c r="B25" t="s">
        <v>7</v>
      </c>
      <c r="C25" t="s">
        <v>8</v>
      </c>
      <c r="D25">
        <v>2</v>
      </c>
      <c r="E25">
        <v>2</v>
      </c>
      <c r="F25">
        <v>0</v>
      </c>
      <c r="G25">
        <v>0</v>
      </c>
      <c r="H25" s="1">
        <f t="shared" si="0"/>
        <v>45667</v>
      </c>
      <c r="I25">
        <f t="shared" si="1"/>
        <v>2</v>
      </c>
      <c r="L25" s="9" t="s">
        <v>66</v>
      </c>
      <c r="M25" t="e" cm="1">
        <f t="array" ref="M25">SUMPRODUCT((A25:A1023=$L25)*(B25:B1023="sterling silver earrings")*(D25:D1023)*(E25:E1023)) / SUMIFS(E25:E1023, A25:A1023, $L25, B25:B1023, "sterling silver earrings")</f>
        <v>#DIV/0!</v>
      </c>
      <c r="N25" s="7" t="e" cm="1">
        <f t="array" ref="N25">SUMPRODUCT((A25:A1023=$L25)*(B25:B1023="silver hoop earrings for women")*(D25:D1023)*(E25:E1023)) / SUMIFS(E25:E1023, A25:A1023, $L25, B25:B1023, "silver hoop earrings for women")</f>
        <v>#DIV/0!</v>
      </c>
      <c r="O25" s="7" t="e" cm="1">
        <f t="array" ref="O25">SUMPRODUCT((A25:A1023=$L25)*(B25:B1023="hoop earrings")*(D25:D1023)*(E25:E1023)) / SUMIFS(E25:E1023, A25:A1023, $L25, B25:B1023, "hoop earrings")</f>
        <v>#DIV/0!</v>
      </c>
      <c r="P25" s="7" t="e" cm="1">
        <f t="array" ref="P25">SUMPRODUCT((A25:A1023=$L25)*(B25:B1023="silver hoops")*(D25:D1023)*(E25:E1023)) / SUMIFS(E25:E1023, A25:A1023, $L25, B25:B1023, "silver hoops")</f>
        <v>#DIV/0!</v>
      </c>
      <c r="Q25" s="7" t="e" cm="1">
        <f t="array" ref="Q25">SUMPRODUCT((A25:A1023=$L25)*(B25:B1023="sterling silver hoop earrings")*(D25:D1023)*(E25:E1023)) / SUMIFS(E25:E1023, A25:A1023, $L25, B25:B1023, "sterling silver hoop earrings")</f>
        <v>#DIV/0!</v>
      </c>
      <c r="R25" s="7" t="e" cm="1">
        <f t="array" ref="R25">SUMPRODUCT((A25:A1023=$L25)*(B25:B1023="silver hoop earrings")*(D25:D1023)*(E25:E1023)) / SUMIFS(E25:E1023, A25:A1023, $L25, B25:B1023, "silver hoop earrings")</f>
        <v>#DIV/0!</v>
      </c>
      <c r="S25" s="7" t="e" cm="1">
        <f t="array" ref="S25">SUMPRODUCT((A25:A1023=$L25)*(B25:B1023="925 sterling silver earrings")*(D25:D1023)*(E25:E1023)) / SUMIFS(E25:E1023, A25:A1023, $L25, B25:B1023, "925 sterling silver earrings")</f>
        <v>#DIV/0!</v>
      </c>
      <c r="T25" s="7" cm="1">
        <f t="array" ref="T25">SUMPRODUCT((A25:A1023=$L25)*(B25:B1023="hoops")*(D25:D1023)*(E25:E1023)) / SUMIFS(E25:E1023, A25:A1023, $L25, B25:B1023, "hoops")</f>
        <v>0</v>
      </c>
      <c r="U25" s="7" t="e" cm="1">
        <f t="array" ref="U25">SUMPRODUCT((A25:A1023=$L25)*(B25:B1023="hoops earrings for women")*(D25:D1023)*(E25:E1023)) / SUMIFS(E25:E1023, A25:A1023, $L25, B25:B1023, "hoops earrings for women")</f>
        <v>#DIV/0!</v>
      </c>
      <c r="V25" s="7" t="e" cm="1">
        <f t="array" ref="V25">SUMPRODUCT((A25:A1023=$L25)*(B25:B1023="silver hoops earrings for women")*(D25:D1023)*(E25:E1023)) / SUMIFS(E25:E1023, A25:A1023, $L25, B25:B1023, "silver hoops earrings for women")</f>
        <v>#DIV/0!</v>
      </c>
    </row>
    <row r="26" spans="1:22" x14ac:dyDescent="0.2">
      <c r="A26">
        <v>20250111</v>
      </c>
      <c r="B26" t="s">
        <v>7</v>
      </c>
      <c r="C26" t="s">
        <v>8</v>
      </c>
      <c r="D26">
        <v>1</v>
      </c>
      <c r="E26">
        <v>36</v>
      </c>
      <c r="F26">
        <v>0</v>
      </c>
      <c r="G26">
        <v>0</v>
      </c>
      <c r="H26" s="1">
        <f t="shared" si="0"/>
        <v>45668</v>
      </c>
      <c r="I26">
        <f t="shared" si="1"/>
        <v>2</v>
      </c>
      <c r="L26" s="9" t="s">
        <v>67</v>
      </c>
      <c r="M26" t="e" cm="1">
        <f t="array" ref="M26">SUMPRODUCT((A26:A1024=$L26)*(B26:B1024="sterling silver earrings")*(D26:D1024)*(E26:E1024)) / SUMIFS(E26:E1024, A26:A1024, $L26, B26:B1024, "sterling silver earrings")</f>
        <v>#DIV/0!</v>
      </c>
      <c r="N26" s="7" t="e" cm="1">
        <f t="array" ref="N26">SUMPRODUCT((A26:A1024=$L26)*(B26:B1024="silver hoop earrings for women")*(D26:D1024)*(E26:E1024)) / SUMIFS(E26:E1024, A26:A1024, $L26, B26:B1024, "silver hoop earrings for women")</f>
        <v>#DIV/0!</v>
      </c>
      <c r="O26" s="7" t="e" cm="1">
        <f t="array" ref="O26">SUMPRODUCT((A26:A1024=$L26)*(B26:B1024="hoop earrings")*(D26:D1024)*(E26:E1024)) / SUMIFS(E26:E1024, A26:A1024, $L26, B26:B1024, "hoop earrings")</f>
        <v>#DIV/0!</v>
      </c>
      <c r="P26" s="7" t="e" cm="1">
        <f t="array" ref="P26">SUMPRODUCT((A26:A1024=$L26)*(B26:B1024="silver hoops")*(D26:D1024)*(E26:E1024)) / SUMIFS(E26:E1024, A26:A1024, $L26, B26:B1024, "silver hoops")</f>
        <v>#DIV/0!</v>
      </c>
      <c r="Q26" s="7" cm="1">
        <f t="array" ref="Q26">SUMPRODUCT((A26:A1024=$L26)*(B26:B1024="sterling silver hoop earrings")*(D26:D1024)*(E26:E1024)) / SUMIFS(E26:E1024, A26:A1024, $L26, B26:B1024, "sterling silver hoop earrings")</f>
        <v>0</v>
      </c>
      <c r="R26" s="7" t="e" cm="1">
        <f t="array" ref="R26">SUMPRODUCT((A26:A1024=$L26)*(B26:B1024="silver hoop earrings")*(D26:D1024)*(E26:E1024)) / SUMIFS(E26:E1024, A26:A1024, $L26, B26:B1024, "silver hoop earrings")</f>
        <v>#DIV/0!</v>
      </c>
      <c r="S26" s="7" t="e" cm="1">
        <f t="array" ref="S26">SUMPRODUCT((A26:A1024=$L26)*(B26:B1024="925 sterling silver earrings")*(D26:D1024)*(E26:E1024)) / SUMIFS(E26:E1024, A26:A1024, $L26, B26:B1024, "925 sterling silver earrings")</f>
        <v>#DIV/0!</v>
      </c>
      <c r="T26" s="7" t="e" cm="1">
        <f t="array" ref="T26">SUMPRODUCT((A26:A1024=$L26)*(B26:B1024="hoops")*(D26:D1024)*(E26:E1024)) / SUMIFS(E26:E1024, A26:A1024, $L26, B26:B1024, "hoops")</f>
        <v>#DIV/0!</v>
      </c>
      <c r="U26" s="7" t="e" cm="1">
        <f t="array" ref="U26">SUMPRODUCT((A26:A1024=$L26)*(B26:B1024="hoops earrings for women")*(D26:D1024)*(E26:E1024)) / SUMIFS(E26:E1024, A26:A1024, $L26, B26:B1024, "hoops earrings for women")</f>
        <v>#DIV/0!</v>
      </c>
      <c r="V26" s="7" t="e" cm="1">
        <f t="array" ref="V26">SUMPRODUCT((A26:A1024=$L26)*(B26:B1024="silver hoops earrings for women")*(D26:D1024)*(E26:E1024)) / SUMIFS(E26:E1024, A26:A1024, $L26, B26:B1024, "silver hoops earrings for women")</f>
        <v>#DIV/0!</v>
      </c>
    </row>
    <row r="27" spans="1:22" x14ac:dyDescent="0.2">
      <c r="A27">
        <v>20250112</v>
      </c>
      <c r="B27" t="s">
        <v>7</v>
      </c>
      <c r="C27" t="s">
        <v>8</v>
      </c>
      <c r="D27">
        <v>1</v>
      </c>
      <c r="E27">
        <v>24</v>
      </c>
      <c r="F27">
        <v>0</v>
      </c>
      <c r="G27">
        <v>0</v>
      </c>
      <c r="H27" s="1">
        <f t="shared" si="0"/>
        <v>45669</v>
      </c>
      <c r="I27">
        <f t="shared" si="1"/>
        <v>3</v>
      </c>
      <c r="L27" s="9" t="s">
        <v>68</v>
      </c>
      <c r="M27" cm="1">
        <f t="array" ref="M27">SUMPRODUCT((A27:A1025=$L27)*(B27:B1025="sterling silver earrings")*(D27:D1025)*(E27:E1025)) / SUMIFS(E27:E1025, A27:A1025, $L27, B27:B1025, "sterling silver earrings")</f>
        <v>0</v>
      </c>
      <c r="N27" s="7" cm="1">
        <f t="array" ref="N27">SUMPRODUCT((A27:A1025=$L27)*(B27:B1025="silver hoop earrings for women")*(D27:D1025)*(E27:E1025)) / SUMIFS(E27:E1025, A27:A1025, $L27, B27:B1025, "silver hoop earrings for women")</f>
        <v>0</v>
      </c>
      <c r="O27" s="7" t="e" cm="1">
        <f t="array" ref="O27">SUMPRODUCT((A27:A1025=$L27)*(B27:B1025="hoop earrings")*(D27:D1025)*(E27:E1025)) / SUMIFS(E27:E1025, A27:A1025, $L27, B27:B1025, "hoop earrings")</f>
        <v>#DIV/0!</v>
      </c>
      <c r="P27" s="7" t="e" cm="1">
        <f t="array" ref="P27">SUMPRODUCT((A27:A1025=$L27)*(B27:B1025="silver hoops")*(D27:D1025)*(E27:E1025)) / SUMIFS(E27:E1025, A27:A1025, $L27, B27:B1025, "silver hoops")</f>
        <v>#DIV/0!</v>
      </c>
      <c r="Q27" s="7" cm="1">
        <f t="array" ref="Q27">SUMPRODUCT((A27:A1025=$L27)*(B27:B1025="sterling silver hoop earrings")*(D27:D1025)*(E27:E1025)) / SUMIFS(E27:E1025, A27:A1025, $L27, B27:B1025, "sterling silver hoop earrings")</f>
        <v>0</v>
      </c>
      <c r="R27" s="7" t="e" cm="1">
        <f t="array" ref="R27">SUMPRODUCT((A27:A1025=$L27)*(B27:B1025="silver hoop earrings")*(D27:D1025)*(E27:E1025)) / SUMIFS(E27:E1025, A27:A1025, $L27, B27:B1025, "silver hoop earrings")</f>
        <v>#DIV/0!</v>
      </c>
      <c r="S27" s="7" t="e" cm="1">
        <f t="array" ref="S27">SUMPRODUCT((A27:A1025=$L27)*(B27:B1025="925 sterling silver earrings")*(D27:D1025)*(E27:E1025)) / SUMIFS(E27:E1025, A27:A1025, $L27, B27:B1025, "925 sterling silver earrings")</f>
        <v>#DIV/0!</v>
      </c>
      <c r="T27" s="7" t="e" cm="1">
        <f t="array" ref="T27">SUMPRODUCT((A27:A1025=$L27)*(B27:B1025="hoops")*(D27:D1025)*(E27:E1025)) / SUMIFS(E27:E1025, A27:A1025, $L27, B27:B1025, "hoops")</f>
        <v>#DIV/0!</v>
      </c>
      <c r="U27" s="7" t="e" cm="1">
        <f t="array" ref="U27">SUMPRODUCT((A27:A1025=$L27)*(B27:B1025="hoops earrings for women")*(D27:D1025)*(E27:E1025)) / SUMIFS(E27:E1025, A27:A1025, $L27, B27:B1025, "hoops earrings for women")</f>
        <v>#DIV/0!</v>
      </c>
      <c r="V27" s="7" t="e" cm="1">
        <f t="array" ref="V27">SUMPRODUCT((A27:A1025=$L27)*(B27:B1025="silver hoops earrings for women")*(D27:D1025)*(E27:E1025)) / SUMIFS(E27:E1025, A27:A1025, $L27, B27:B1025, "silver hoops earrings for women")</f>
        <v>#DIV/0!</v>
      </c>
    </row>
    <row r="28" spans="1:22" x14ac:dyDescent="0.2">
      <c r="A28">
        <v>20250113</v>
      </c>
      <c r="B28" t="s">
        <v>7</v>
      </c>
      <c r="C28" t="s">
        <v>13</v>
      </c>
      <c r="D28">
        <v>2</v>
      </c>
      <c r="E28">
        <v>1</v>
      </c>
      <c r="F28">
        <v>0</v>
      </c>
      <c r="G28">
        <v>0</v>
      </c>
      <c r="H28" s="1">
        <f t="shared" si="0"/>
        <v>45670</v>
      </c>
      <c r="I28">
        <f t="shared" si="1"/>
        <v>3</v>
      </c>
      <c r="L28" s="9" t="s">
        <v>69</v>
      </c>
      <c r="M28" cm="1">
        <f t="array" ref="M28">SUMPRODUCT((A28:A1026=$L28)*(B28:B1026="sterling silver earrings")*(D28:D1026)*(E28:E1026)) / SUMIFS(E28:E1026, A28:A1026, $L28, B28:B1026, "sterling silver earrings")</f>
        <v>0</v>
      </c>
      <c r="N28" s="7" t="e" cm="1">
        <f t="array" ref="N28">SUMPRODUCT((A28:A1026=$L28)*(B28:B1026="silver hoop earrings for women")*(D28:D1026)*(E28:E1026)) / SUMIFS(E28:E1026, A28:A1026, $L28, B28:B1026, "silver hoop earrings for women")</f>
        <v>#DIV/0!</v>
      </c>
      <c r="O28" s="7" t="e" cm="1">
        <f t="array" ref="O28">SUMPRODUCT((A28:A1026=$L28)*(B28:B1026="hoop earrings")*(D28:D1026)*(E28:E1026)) / SUMIFS(E28:E1026, A28:A1026, $L28, B28:B1026, "hoop earrings")</f>
        <v>#DIV/0!</v>
      </c>
      <c r="P28" s="7" t="e" cm="1">
        <f t="array" ref="P28">SUMPRODUCT((A28:A1026=$L28)*(B28:B1026="silver hoops")*(D28:D1026)*(E28:E1026)) / SUMIFS(E28:E1026, A28:A1026, $L28, B28:B1026, "silver hoops")</f>
        <v>#DIV/0!</v>
      </c>
      <c r="Q28" s="7" t="e" cm="1">
        <f t="array" ref="Q28">SUMPRODUCT((A28:A1026=$L28)*(B28:B1026="sterling silver hoop earrings")*(D28:D1026)*(E28:E1026)) / SUMIFS(E28:E1026, A28:A1026, $L28, B28:B1026, "sterling silver hoop earrings")</f>
        <v>#DIV/0!</v>
      </c>
      <c r="R28" s="7" cm="1">
        <f t="array" ref="R28">SUMPRODUCT((A28:A1026=$L28)*(B28:B1026="silver hoop earrings")*(D28:D1026)*(E28:E1026)) / SUMIFS(E28:E1026, A28:A1026, $L28, B28:B1026, "silver hoop earrings")</f>
        <v>0</v>
      </c>
      <c r="S28" s="7" t="e" cm="1">
        <f t="array" ref="S28">SUMPRODUCT((A28:A1026=$L28)*(B28:B1026="925 sterling silver earrings")*(D28:D1026)*(E28:E1026)) / SUMIFS(E28:E1026, A28:A1026, $L28, B28:B1026, "925 sterling silver earrings")</f>
        <v>#DIV/0!</v>
      </c>
      <c r="T28" s="7" t="e" cm="1">
        <f t="array" ref="T28">SUMPRODUCT((A28:A1026=$L28)*(B28:B1026="hoops")*(D28:D1026)*(E28:E1026)) / SUMIFS(E28:E1026, A28:A1026, $L28, B28:B1026, "hoops")</f>
        <v>#DIV/0!</v>
      </c>
      <c r="U28" s="7" t="e" cm="1">
        <f t="array" ref="U28">SUMPRODUCT((A28:A1026=$L28)*(B28:B1026="hoops earrings for women")*(D28:D1026)*(E28:E1026)) / SUMIFS(E28:E1026, A28:A1026, $L28, B28:B1026, "hoops earrings for women")</f>
        <v>#DIV/0!</v>
      </c>
      <c r="V28" s="7" t="e" cm="1">
        <f t="array" ref="V28">SUMPRODUCT((A28:A1026=$L28)*(B28:B1026="silver hoops earrings for women")*(D28:D1026)*(E28:E1026)) / SUMIFS(E28:E1026, A28:A1026, $L28, B28:B1026, "silver hoops earrings for women")</f>
        <v>#DIV/0!</v>
      </c>
    </row>
    <row r="29" spans="1:22" x14ac:dyDescent="0.2">
      <c r="A29">
        <v>20250113</v>
      </c>
      <c r="B29" t="s">
        <v>9</v>
      </c>
      <c r="C29" t="s">
        <v>8</v>
      </c>
      <c r="D29">
        <v>4</v>
      </c>
      <c r="E29">
        <v>17.25</v>
      </c>
      <c r="F29">
        <v>0</v>
      </c>
      <c r="G29">
        <v>0</v>
      </c>
      <c r="H29" s="1">
        <f t="shared" si="0"/>
        <v>45670</v>
      </c>
      <c r="I29">
        <f t="shared" si="1"/>
        <v>3</v>
      </c>
      <c r="L29" s="9" t="s">
        <v>70</v>
      </c>
      <c r="M29" t="e" cm="1">
        <f t="array" ref="M29">SUMPRODUCT((A29:A1027=$L29)*(B29:B1027="sterling silver earrings")*(D29:D1027)*(E29:E1027)) / SUMIFS(E29:E1027, A29:A1027, $L29, B29:B1027, "sterling silver earrings")</f>
        <v>#DIV/0!</v>
      </c>
      <c r="N29" s="7" t="e" cm="1">
        <f t="array" ref="N29">SUMPRODUCT((A29:A1027=$L29)*(B29:B1027="silver hoop earrings for women")*(D29:D1027)*(E29:E1027)) / SUMIFS(E29:E1027, A29:A1027, $L29, B29:B1027, "silver hoop earrings for women")</f>
        <v>#DIV/0!</v>
      </c>
      <c r="O29" s="7" t="e" cm="1">
        <f t="array" ref="O29">SUMPRODUCT((A29:A1027=$L29)*(B29:B1027="hoop earrings")*(D29:D1027)*(E29:E1027)) / SUMIFS(E29:E1027, A29:A1027, $L29, B29:B1027, "hoop earrings")</f>
        <v>#DIV/0!</v>
      </c>
      <c r="P29" s="7" t="e" cm="1">
        <f t="array" ref="P29">SUMPRODUCT((A29:A1027=$L29)*(B29:B1027="silver hoops")*(D29:D1027)*(E29:E1027)) / SUMIFS(E29:E1027, A29:A1027, $L29, B29:B1027, "silver hoops")</f>
        <v>#DIV/0!</v>
      </c>
      <c r="Q29" s="7" t="e" cm="1">
        <f t="array" ref="Q29">SUMPRODUCT((A29:A1027=$L29)*(B29:B1027="sterling silver hoop earrings")*(D29:D1027)*(E29:E1027)) / SUMIFS(E29:E1027, A29:A1027, $L29, B29:B1027, "sterling silver hoop earrings")</f>
        <v>#DIV/0!</v>
      </c>
      <c r="R29" s="7" t="e" cm="1">
        <f t="array" ref="R29">SUMPRODUCT((A29:A1027=$L29)*(B29:B1027="silver hoop earrings")*(D29:D1027)*(E29:E1027)) / SUMIFS(E29:E1027, A29:A1027, $L29, B29:B1027, "silver hoop earrings")</f>
        <v>#DIV/0!</v>
      </c>
      <c r="S29" s="7" t="e" cm="1">
        <f t="array" ref="S29">SUMPRODUCT((A29:A1027=$L29)*(B29:B1027="925 sterling silver earrings")*(D29:D1027)*(E29:E1027)) / SUMIFS(E29:E1027, A29:A1027, $L29, B29:B1027, "925 sterling silver earrings")</f>
        <v>#DIV/0!</v>
      </c>
      <c r="T29" s="7" t="e" cm="1">
        <f t="array" ref="T29">SUMPRODUCT((A29:A1027=$L29)*(B29:B1027="hoops")*(D29:D1027)*(E29:E1027)) / SUMIFS(E29:E1027, A29:A1027, $L29, B29:B1027, "hoops")</f>
        <v>#DIV/0!</v>
      </c>
      <c r="U29" s="7" t="e" cm="1">
        <f t="array" ref="U29">SUMPRODUCT((A29:A1027=$L29)*(B29:B1027="hoops earrings for women")*(D29:D1027)*(E29:E1027)) / SUMIFS(E29:E1027, A29:A1027, $L29, B29:B1027, "hoops earrings for women")</f>
        <v>#DIV/0!</v>
      </c>
      <c r="V29" s="7" t="e" cm="1">
        <f t="array" ref="V29">SUMPRODUCT((A29:A1027=$L29)*(B29:B1027="silver hoops earrings for women")*(D29:D1027)*(E29:E1027)) / SUMIFS(E29:E1027, A29:A1027, $L29, B29:B1027, "silver hoops earrings for women")</f>
        <v>#DIV/0!</v>
      </c>
    </row>
    <row r="30" spans="1:22" x14ac:dyDescent="0.2">
      <c r="A30">
        <v>20250114</v>
      </c>
      <c r="B30" t="s">
        <v>16</v>
      </c>
      <c r="C30" t="s">
        <v>22</v>
      </c>
      <c r="D30">
        <v>1</v>
      </c>
      <c r="E30">
        <v>72</v>
      </c>
      <c r="F30">
        <v>0</v>
      </c>
      <c r="G30">
        <v>0</v>
      </c>
      <c r="H30" s="1">
        <f t="shared" si="0"/>
        <v>45671</v>
      </c>
      <c r="I30">
        <f t="shared" si="1"/>
        <v>3</v>
      </c>
      <c r="L30" s="9" t="s">
        <v>71</v>
      </c>
      <c r="M30" t="e" cm="1">
        <f t="array" ref="M30">SUMPRODUCT((A30:A1028=$L30)*(B30:B1028="sterling silver earrings")*(D30:D1028)*(E30:E1028)) / SUMIFS(E30:E1028, A30:A1028, $L30, B30:B1028, "sterling silver earrings")</f>
        <v>#DIV/0!</v>
      </c>
      <c r="N30" s="7" cm="1">
        <f t="array" ref="N30">SUMPRODUCT((A30:A1028=$L30)*(B30:B1028="silver hoop earrings for women")*(D30:D1028)*(E30:E1028)) / SUMIFS(E30:E1028, A30:A1028, $L30, B30:B1028, "silver hoop earrings for women")</f>
        <v>0</v>
      </c>
      <c r="O30" s="7" t="e" cm="1">
        <f t="array" ref="O30">SUMPRODUCT((A30:A1028=$L30)*(B30:B1028="hoop earrings")*(D30:D1028)*(E30:E1028)) / SUMIFS(E30:E1028, A30:A1028, $L30, B30:B1028, "hoop earrings")</f>
        <v>#DIV/0!</v>
      </c>
      <c r="P30" s="7" t="e" cm="1">
        <f t="array" ref="P30">SUMPRODUCT((A30:A1028=$L30)*(B30:B1028="silver hoops")*(D30:D1028)*(E30:E1028)) / SUMIFS(E30:E1028, A30:A1028, $L30, B30:B1028, "silver hoops")</f>
        <v>#DIV/0!</v>
      </c>
      <c r="Q30" s="7" cm="1">
        <f t="array" ref="Q30">SUMPRODUCT((A30:A1028=$L30)*(B30:B1028="sterling silver hoop earrings")*(D30:D1028)*(E30:E1028)) / SUMIFS(E30:E1028, A30:A1028, $L30, B30:B1028, "sterling silver hoop earrings")</f>
        <v>0</v>
      </c>
      <c r="R30" s="7" t="e" cm="1">
        <f t="array" ref="R30">SUMPRODUCT((A30:A1028=$L30)*(B30:B1028="silver hoop earrings")*(D30:D1028)*(E30:E1028)) / SUMIFS(E30:E1028, A30:A1028, $L30, B30:B1028, "silver hoop earrings")</f>
        <v>#DIV/0!</v>
      </c>
      <c r="S30" s="7" t="e" cm="1">
        <f t="array" ref="S30">SUMPRODUCT((A30:A1028=$L30)*(B30:B1028="925 sterling silver earrings")*(D30:D1028)*(E30:E1028)) / SUMIFS(E30:E1028, A30:A1028, $L30, B30:B1028, "925 sterling silver earrings")</f>
        <v>#DIV/0!</v>
      </c>
      <c r="T30" s="7" t="e" cm="1">
        <f t="array" ref="T30">SUMPRODUCT((A30:A1028=$L30)*(B30:B1028="hoops")*(D30:D1028)*(E30:E1028)) / SUMIFS(E30:E1028, A30:A1028, $L30, B30:B1028, "hoops")</f>
        <v>#DIV/0!</v>
      </c>
      <c r="U30" s="7" t="e" cm="1">
        <f t="array" ref="U30">SUMPRODUCT((A30:A1028=$L30)*(B30:B1028="hoops earrings for women")*(D30:D1028)*(E30:E1028)) / SUMIFS(E30:E1028, A30:A1028, $L30, B30:B1028, "hoops earrings for women")</f>
        <v>#DIV/0!</v>
      </c>
      <c r="V30" s="7" t="e" cm="1">
        <f t="array" ref="V30">SUMPRODUCT((A30:A1028=$L30)*(B30:B1028="silver hoops earrings for women")*(D30:D1028)*(E30:E1028)) / SUMIFS(E30:E1028, A30:A1028, $L30, B30:B1028, "silver hoops earrings for women")</f>
        <v>#DIV/0!</v>
      </c>
    </row>
    <row r="31" spans="1:22" x14ac:dyDescent="0.2">
      <c r="A31">
        <v>20250114</v>
      </c>
      <c r="B31" t="s">
        <v>7</v>
      </c>
      <c r="C31" t="s">
        <v>15</v>
      </c>
      <c r="D31">
        <v>1</v>
      </c>
      <c r="E31">
        <v>1</v>
      </c>
      <c r="F31">
        <v>0</v>
      </c>
      <c r="G31">
        <v>0</v>
      </c>
      <c r="H31" s="1">
        <f t="shared" si="0"/>
        <v>45671</v>
      </c>
      <c r="I31">
        <f t="shared" si="1"/>
        <v>3</v>
      </c>
      <c r="L31" s="9" t="s">
        <v>72</v>
      </c>
      <c r="M31" t="e" cm="1">
        <f t="array" ref="M31">SUMPRODUCT((A31:A1029=$L31)*(B31:B1029="sterling silver earrings")*(D31:D1029)*(E31:E1029)) / SUMIFS(E31:E1029, A31:A1029, $L31, B31:B1029, "sterling silver earrings")</f>
        <v>#DIV/0!</v>
      </c>
      <c r="N31" s="7" cm="1">
        <f t="array" ref="N31">SUMPRODUCT((A31:A1029=$L31)*(B31:B1029="silver hoop earrings for women")*(D31:D1029)*(E31:E1029)) / SUMIFS(E31:E1029, A31:A1029, $L31, B31:B1029, "silver hoop earrings for women")</f>
        <v>0</v>
      </c>
      <c r="O31" s="7" t="e" cm="1">
        <f t="array" ref="O31">SUMPRODUCT((A31:A1029=$L31)*(B31:B1029="hoop earrings")*(D31:D1029)*(E31:E1029)) / SUMIFS(E31:E1029, A31:A1029, $L31, B31:B1029, "hoop earrings")</f>
        <v>#DIV/0!</v>
      </c>
      <c r="P31" s="7" t="e" cm="1">
        <f t="array" ref="P31">SUMPRODUCT((A31:A1029=$L31)*(B31:B1029="silver hoops")*(D31:D1029)*(E31:E1029)) / SUMIFS(E31:E1029, A31:A1029, $L31, B31:B1029, "silver hoops")</f>
        <v>#DIV/0!</v>
      </c>
      <c r="Q31" s="7" t="e" cm="1">
        <f t="array" ref="Q31">SUMPRODUCT((A31:A1029=$L31)*(B31:B1029="sterling silver hoop earrings")*(D31:D1029)*(E31:E1029)) / SUMIFS(E31:E1029, A31:A1029, $L31, B31:B1029, "sterling silver hoop earrings")</f>
        <v>#DIV/0!</v>
      </c>
      <c r="R31" s="7" cm="1">
        <f t="array" ref="R31">SUMPRODUCT((A31:A1029=$L31)*(B31:B1029="silver hoop earrings")*(D31:D1029)*(E31:E1029)) / SUMIFS(E31:E1029, A31:A1029, $L31, B31:B1029, "silver hoop earrings")</f>
        <v>0</v>
      </c>
      <c r="S31" s="7" cm="1">
        <f t="array" ref="S31">SUMPRODUCT((A31:A1029=$L31)*(B31:B1029="925 sterling silver earrings")*(D31:D1029)*(E31:E1029)) / SUMIFS(E31:E1029, A31:A1029, $L31, B31:B1029, "925 sterling silver earrings")</f>
        <v>0</v>
      </c>
      <c r="T31" s="7" t="e" cm="1">
        <f t="array" ref="T31">SUMPRODUCT((A31:A1029=$L31)*(B31:B1029="hoops")*(D31:D1029)*(E31:E1029)) / SUMIFS(E31:E1029, A31:A1029, $L31, B31:B1029, "hoops")</f>
        <v>#DIV/0!</v>
      </c>
      <c r="U31" s="7" t="e" cm="1">
        <f t="array" ref="U31">SUMPRODUCT((A31:A1029=$L31)*(B31:B1029="hoops earrings for women")*(D31:D1029)*(E31:E1029)) / SUMIFS(E31:E1029, A31:A1029, $L31, B31:B1029, "hoops earrings for women")</f>
        <v>#DIV/0!</v>
      </c>
      <c r="V31" s="7" t="e" cm="1">
        <f t="array" ref="V31">SUMPRODUCT((A31:A1029=$L31)*(B31:B1029="silver hoops earrings for women")*(D31:D1029)*(E31:E1029)) / SUMIFS(E31:E1029, A31:A1029, $L31, B31:B1029, "silver hoops earrings for women")</f>
        <v>#DIV/0!</v>
      </c>
    </row>
    <row r="32" spans="1:22" x14ac:dyDescent="0.2">
      <c r="A32">
        <v>20250114</v>
      </c>
      <c r="B32" t="s">
        <v>23</v>
      </c>
      <c r="C32" t="s">
        <v>13</v>
      </c>
      <c r="D32">
        <v>4</v>
      </c>
      <c r="E32">
        <v>1</v>
      </c>
      <c r="F32">
        <v>0</v>
      </c>
      <c r="G32">
        <v>0</v>
      </c>
      <c r="H32" s="1">
        <f t="shared" si="0"/>
        <v>45671</v>
      </c>
      <c r="I32">
        <f t="shared" si="1"/>
        <v>3</v>
      </c>
      <c r="L32" s="9" t="s">
        <v>73</v>
      </c>
      <c r="M32" t="e" cm="1">
        <f t="array" ref="M32">SUMPRODUCT((A32:A1030=$L32)*(B32:B1030="sterling silver earrings")*(D32:D1030)*(E32:E1030)) / SUMIFS(E32:E1030, A32:A1030, $L32, B32:B1030, "sterling silver earrings")</f>
        <v>#DIV/0!</v>
      </c>
      <c r="N32" s="7" cm="1">
        <f t="array" ref="N32">SUMPRODUCT((A32:A1030=$L32)*(B32:B1030="silver hoop earrings for women")*(D32:D1030)*(E32:E1030)) / SUMIFS(E32:E1030, A32:A1030, $L32, B32:B1030, "silver hoop earrings for women")</f>
        <v>0</v>
      </c>
      <c r="O32" s="7" cm="1">
        <f t="array" ref="O32">SUMPRODUCT((A32:A1030=$L32)*(B32:B1030="hoop earrings")*(D32:D1030)*(E32:E1030)) / SUMIFS(E32:E1030, A32:A1030, $L32, B32:B1030, "hoop earrings")</f>
        <v>0</v>
      </c>
      <c r="P32" s="7" t="e" cm="1">
        <f t="array" ref="P32">SUMPRODUCT((A32:A1030=$L32)*(B32:B1030="silver hoops")*(D32:D1030)*(E32:E1030)) / SUMIFS(E32:E1030, A32:A1030, $L32, B32:B1030, "silver hoops")</f>
        <v>#DIV/0!</v>
      </c>
      <c r="Q32" s="7" cm="1">
        <f t="array" ref="Q32">SUMPRODUCT((A32:A1030=$L32)*(B32:B1030="sterling silver hoop earrings")*(D32:D1030)*(E32:E1030)) / SUMIFS(E32:E1030, A32:A1030, $L32, B32:B1030, "sterling silver hoop earrings")</f>
        <v>0</v>
      </c>
      <c r="R32" s="7" t="e" cm="1">
        <f t="array" ref="R32">SUMPRODUCT((A32:A1030=$L32)*(B32:B1030="silver hoop earrings")*(D32:D1030)*(E32:E1030)) / SUMIFS(E32:E1030, A32:A1030, $L32, B32:B1030, "silver hoop earrings")</f>
        <v>#DIV/0!</v>
      </c>
      <c r="S32" s="7" t="e" cm="1">
        <f t="array" ref="S32">SUMPRODUCT((A32:A1030=$L32)*(B32:B1030="925 sterling silver earrings")*(D32:D1030)*(E32:E1030)) / SUMIFS(E32:E1030, A32:A1030, $L32, B32:B1030, "925 sterling silver earrings")</f>
        <v>#DIV/0!</v>
      </c>
      <c r="T32" s="7" t="e" cm="1">
        <f t="array" ref="T32">SUMPRODUCT((A32:A1030=$L32)*(B32:B1030="hoops")*(D32:D1030)*(E32:E1030)) / SUMIFS(E32:E1030, A32:A1030, $L32, B32:B1030, "hoops")</f>
        <v>#DIV/0!</v>
      </c>
      <c r="U32" s="7" t="e" cm="1">
        <f t="array" ref="U32">SUMPRODUCT((A32:A1030=$L32)*(B32:B1030="hoops earrings for women")*(D32:D1030)*(E32:E1030)) / SUMIFS(E32:E1030, A32:A1030, $L32, B32:B1030, "hoops earrings for women")</f>
        <v>#DIV/0!</v>
      </c>
      <c r="V32" s="7" t="e" cm="1">
        <f t="array" ref="V32">SUMPRODUCT((A32:A1030=$L32)*(B32:B1030="silver hoops earrings for women")*(D32:D1030)*(E32:E1030)) / SUMIFS(E32:E1030, A32:A1030, $L32, B32:B1030, "silver hoops earrings for women")</f>
        <v>#DIV/0!</v>
      </c>
    </row>
    <row r="33" spans="1:22" x14ac:dyDescent="0.2">
      <c r="A33">
        <v>20250114</v>
      </c>
      <c r="B33" t="s">
        <v>10</v>
      </c>
      <c r="C33" t="s">
        <v>8</v>
      </c>
      <c r="D33">
        <v>2</v>
      </c>
      <c r="E33">
        <v>20</v>
      </c>
      <c r="F33">
        <v>0</v>
      </c>
      <c r="G33">
        <v>0</v>
      </c>
      <c r="H33" s="1">
        <f t="shared" si="0"/>
        <v>45671</v>
      </c>
      <c r="I33">
        <f t="shared" si="1"/>
        <v>3</v>
      </c>
      <c r="L33" s="9" t="s">
        <v>74</v>
      </c>
      <c r="M33" t="e" cm="1">
        <f t="array" ref="M33">SUMPRODUCT((A33:A1031=$L33)*(B33:B1031="sterling silver earrings")*(D33:D1031)*(E33:E1031)) / SUMIFS(E33:E1031, A33:A1031, $L33, B33:B1031, "sterling silver earrings")</f>
        <v>#DIV/0!</v>
      </c>
      <c r="N33" s="7" cm="1">
        <f t="array" ref="N33">SUMPRODUCT((A33:A1031=$L33)*(B33:B1031="silver hoop earrings for women")*(D33:D1031)*(E33:E1031)) / SUMIFS(E33:E1031, A33:A1031, $L33, B33:B1031, "silver hoop earrings for women")</f>
        <v>0</v>
      </c>
      <c r="O33" s="7" t="e" cm="1">
        <f t="array" ref="O33">SUMPRODUCT((A33:A1031=$L33)*(B33:B1031="hoop earrings")*(D33:D1031)*(E33:E1031)) / SUMIFS(E33:E1031, A33:A1031, $L33, B33:B1031, "hoop earrings")</f>
        <v>#DIV/0!</v>
      </c>
      <c r="P33" s="7" t="e" cm="1">
        <f t="array" ref="P33">SUMPRODUCT((A33:A1031=$L33)*(B33:B1031="silver hoops")*(D33:D1031)*(E33:E1031)) / SUMIFS(E33:E1031, A33:A1031, $L33, B33:B1031, "silver hoops")</f>
        <v>#DIV/0!</v>
      </c>
      <c r="Q33" s="7" cm="1">
        <f t="array" ref="Q33">SUMPRODUCT((A33:A1031=$L33)*(B33:B1031="sterling silver hoop earrings")*(D33:D1031)*(E33:E1031)) / SUMIFS(E33:E1031, A33:A1031, $L33, B33:B1031, "sterling silver hoop earrings")</f>
        <v>0</v>
      </c>
      <c r="R33" s="7" t="e" cm="1">
        <f t="array" ref="R33">SUMPRODUCT((A33:A1031=$L33)*(B33:B1031="silver hoop earrings")*(D33:D1031)*(E33:E1031)) / SUMIFS(E33:E1031, A33:A1031, $L33, B33:B1031, "silver hoop earrings")</f>
        <v>#DIV/0!</v>
      </c>
      <c r="S33" s="7" cm="1">
        <f t="array" ref="S33">SUMPRODUCT((A33:A1031=$L33)*(B33:B1031="925 sterling silver earrings")*(D33:D1031)*(E33:E1031)) / SUMIFS(E33:E1031, A33:A1031, $L33, B33:B1031, "925 sterling silver earrings")</f>
        <v>0</v>
      </c>
      <c r="T33" s="7" t="e" cm="1">
        <f t="array" ref="T33">SUMPRODUCT((A33:A1031=$L33)*(B33:B1031="hoops")*(D33:D1031)*(E33:E1031)) / SUMIFS(E33:E1031, A33:A1031, $L33, B33:B1031, "hoops")</f>
        <v>#DIV/0!</v>
      </c>
      <c r="U33" s="7" t="e" cm="1">
        <f t="array" ref="U33">SUMPRODUCT((A33:A1031=$L33)*(B33:B1031="hoops earrings for women")*(D33:D1031)*(E33:E1031)) / SUMIFS(E33:E1031, A33:A1031, $L33, B33:B1031, "hoops earrings for women")</f>
        <v>#DIV/0!</v>
      </c>
      <c r="V33" s="7" t="e" cm="1">
        <f t="array" ref="V33">SUMPRODUCT((A33:A1031=$L33)*(B33:B1031="silver hoops earrings for women")*(D33:D1031)*(E33:E1031)) / SUMIFS(E33:E1031, A33:A1031, $L33, B33:B1031, "silver hoops earrings for women")</f>
        <v>#DIV/0!</v>
      </c>
    </row>
    <row r="34" spans="1:22" x14ac:dyDescent="0.2">
      <c r="A34">
        <v>20250117</v>
      </c>
      <c r="B34" t="s">
        <v>23</v>
      </c>
      <c r="C34" t="s">
        <v>8</v>
      </c>
      <c r="D34">
        <v>1</v>
      </c>
      <c r="E34">
        <v>18</v>
      </c>
      <c r="F34">
        <v>0</v>
      </c>
      <c r="G34">
        <v>0</v>
      </c>
      <c r="H34" s="1">
        <f t="shared" si="0"/>
        <v>45674</v>
      </c>
      <c r="I34">
        <f t="shared" si="1"/>
        <v>3</v>
      </c>
      <c r="L34" s="9" t="s">
        <v>75</v>
      </c>
      <c r="M34" t="e" cm="1">
        <f t="array" ref="M34">SUMPRODUCT((A34:A1032=$L34)*(B34:B1032="sterling silver earrings")*(D34:D1032)*(E34:E1032)) / SUMIFS(E34:E1032, A34:A1032, $L34, B34:B1032, "sterling silver earrings")</f>
        <v>#DIV/0!</v>
      </c>
      <c r="N34" s="7" cm="1">
        <f t="array" ref="N34">SUMPRODUCT((A34:A1032=$L34)*(B34:B1032="silver hoop earrings for women")*(D34:D1032)*(E34:E1032)) / SUMIFS(E34:E1032, A34:A1032, $L34, B34:B1032, "silver hoop earrings for women")</f>
        <v>0</v>
      </c>
      <c r="O34" s="7" t="e" cm="1">
        <f t="array" ref="O34">SUMPRODUCT((A34:A1032=$L34)*(B34:B1032="hoop earrings")*(D34:D1032)*(E34:E1032)) / SUMIFS(E34:E1032, A34:A1032, $L34, B34:B1032, "hoop earrings")</f>
        <v>#DIV/0!</v>
      </c>
      <c r="P34" s="7" t="e" cm="1">
        <f t="array" ref="P34">SUMPRODUCT((A34:A1032=$L34)*(B34:B1032="silver hoops")*(D34:D1032)*(E34:E1032)) / SUMIFS(E34:E1032, A34:A1032, $L34, B34:B1032, "silver hoops")</f>
        <v>#DIV/0!</v>
      </c>
      <c r="Q34" s="7" t="e" cm="1">
        <f t="array" ref="Q34">SUMPRODUCT((A34:A1032=$L34)*(B34:B1032="sterling silver hoop earrings")*(D34:D1032)*(E34:E1032)) / SUMIFS(E34:E1032, A34:A1032, $L34, B34:B1032, "sterling silver hoop earrings")</f>
        <v>#DIV/0!</v>
      </c>
      <c r="R34" s="7" cm="1">
        <f t="array" ref="R34">SUMPRODUCT((A34:A1032=$L34)*(B34:B1032="silver hoop earrings")*(D34:D1032)*(E34:E1032)) / SUMIFS(E34:E1032, A34:A1032, $L34, B34:B1032, "silver hoop earrings")</f>
        <v>0</v>
      </c>
      <c r="S34" s="7" t="e" cm="1">
        <f t="array" ref="S34">SUMPRODUCT((A34:A1032=$L34)*(B34:B1032="925 sterling silver earrings")*(D34:D1032)*(E34:E1032)) / SUMIFS(E34:E1032, A34:A1032, $L34, B34:B1032, "925 sterling silver earrings")</f>
        <v>#DIV/0!</v>
      </c>
      <c r="T34" s="7" t="e" cm="1">
        <f t="array" ref="T34">SUMPRODUCT((A34:A1032=$L34)*(B34:B1032="hoops")*(D34:D1032)*(E34:E1032)) / SUMIFS(E34:E1032, A34:A1032, $L34, B34:B1032, "hoops")</f>
        <v>#DIV/0!</v>
      </c>
      <c r="U34" s="7" t="e" cm="1">
        <f t="array" ref="U34">SUMPRODUCT((A34:A1032=$L34)*(B34:B1032="hoops earrings for women")*(D34:D1032)*(E34:E1032)) / SUMIFS(E34:E1032, A34:A1032, $L34, B34:B1032, "hoops earrings for women")</f>
        <v>#DIV/0!</v>
      </c>
      <c r="V34" s="7" t="e" cm="1">
        <f t="array" ref="V34">SUMPRODUCT((A34:A1032=$L34)*(B34:B1032="silver hoops earrings for women")*(D34:D1032)*(E34:E1032)) / SUMIFS(E34:E1032, A34:A1032, $L34, B34:B1032, "silver hoops earrings for women")</f>
        <v>#DIV/0!</v>
      </c>
    </row>
    <row r="35" spans="1:22" x14ac:dyDescent="0.2">
      <c r="A35">
        <v>20250117</v>
      </c>
      <c r="B35" t="s">
        <v>10</v>
      </c>
      <c r="C35" t="s">
        <v>8</v>
      </c>
      <c r="D35">
        <v>1</v>
      </c>
      <c r="E35">
        <v>47</v>
      </c>
      <c r="F35">
        <v>0</v>
      </c>
      <c r="G35">
        <v>0</v>
      </c>
      <c r="H35" s="1">
        <f t="shared" si="0"/>
        <v>45674</v>
      </c>
      <c r="I35">
        <f t="shared" si="1"/>
        <v>3</v>
      </c>
      <c r="L35" s="9" t="s">
        <v>76</v>
      </c>
      <c r="M35" t="e" cm="1">
        <f t="array" ref="M35">SUMPRODUCT((A35:A1033=$L35)*(B35:B1033="sterling silver earrings")*(D35:D1033)*(E35:E1033)) / SUMIFS(E35:E1033, A35:A1033, $L35, B35:B1033, "sterling silver earrings")</f>
        <v>#DIV/0!</v>
      </c>
      <c r="N35" s="7" cm="1">
        <f t="array" ref="N35">SUMPRODUCT((A35:A1033=$L35)*(B35:B1033="silver hoop earrings for women")*(D35:D1033)*(E35:E1033)) / SUMIFS(E35:E1033, A35:A1033, $L35, B35:B1033, "silver hoop earrings for women")</f>
        <v>0</v>
      </c>
      <c r="O35" s="7" cm="1">
        <f t="array" ref="O35">SUMPRODUCT((A35:A1033=$L35)*(B35:B1033="hoop earrings")*(D35:D1033)*(E35:E1033)) / SUMIFS(E35:E1033, A35:A1033, $L35, B35:B1033, "hoop earrings")</f>
        <v>0</v>
      </c>
      <c r="P35" s="7" t="e" cm="1">
        <f t="array" ref="P35">SUMPRODUCT((A35:A1033=$L35)*(B35:B1033="silver hoops")*(D35:D1033)*(E35:E1033)) / SUMIFS(E35:E1033, A35:A1033, $L35, B35:B1033, "silver hoops")</f>
        <v>#DIV/0!</v>
      </c>
      <c r="Q35" s="7" t="e" cm="1">
        <f t="array" ref="Q35">SUMPRODUCT((A35:A1033=$L35)*(B35:B1033="sterling silver hoop earrings")*(D35:D1033)*(E35:E1033)) / SUMIFS(E35:E1033, A35:A1033, $L35, B35:B1033, "sterling silver hoop earrings")</f>
        <v>#DIV/0!</v>
      </c>
      <c r="R35" s="7" t="e" cm="1">
        <f t="array" ref="R35">SUMPRODUCT((A35:A1033=$L35)*(B35:B1033="silver hoop earrings")*(D35:D1033)*(E35:E1033)) / SUMIFS(E35:E1033, A35:A1033, $L35, B35:B1033, "silver hoop earrings")</f>
        <v>#DIV/0!</v>
      </c>
      <c r="S35" s="7" t="e" cm="1">
        <f t="array" ref="S35">SUMPRODUCT((A35:A1033=$L35)*(B35:B1033="925 sterling silver earrings")*(D35:D1033)*(E35:E1033)) / SUMIFS(E35:E1033, A35:A1033, $L35, B35:B1033, "925 sterling silver earrings")</f>
        <v>#DIV/0!</v>
      </c>
      <c r="T35" s="7" t="e" cm="1">
        <f t="array" ref="T35">SUMPRODUCT((A35:A1033=$L35)*(B35:B1033="hoops")*(D35:D1033)*(E35:E1033)) / SUMIFS(E35:E1033, A35:A1033, $L35, B35:B1033, "hoops")</f>
        <v>#DIV/0!</v>
      </c>
      <c r="U35" s="7" t="e" cm="1">
        <f t="array" ref="U35">SUMPRODUCT((A35:A1033=$L35)*(B35:B1033="hoops earrings for women")*(D35:D1033)*(E35:E1033)) / SUMIFS(E35:E1033, A35:A1033, $L35, B35:B1033, "hoops earrings for women")</f>
        <v>#DIV/0!</v>
      </c>
      <c r="V35" s="7" t="e" cm="1">
        <f t="array" ref="V35">SUMPRODUCT((A35:A1033=$L35)*(B35:B1033="silver hoops earrings for women")*(D35:D1033)*(E35:E1033)) / SUMIFS(E35:E1033, A35:A1033, $L35, B35:B1033, "silver hoops earrings for women")</f>
        <v>#DIV/0!</v>
      </c>
    </row>
    <row r="36" spans="1:22" x14ac:dyDescent="0.2">
      <c r="A36">
        <v>20250118</v>
      </c>
      <c r="B36" t="s">
        <v>19</v>
      </c>
      <c r="C36" t="s">
        <v>13</v>
      </c>
      <c r="D36">
        <v>1</v>
      </c>
      <c r="E36">
        <v>85</v>
      </c>
      <c r="F36">
        <v>0</v>
      </c>
      <c r="G36">
        <v>0</v>
      </c>
      <c r="H36" s="1">
        <f t="shared" si="0"/>
        <v>45675</v>
      </c>
      <c r="I36">
        <f t="shared" si="1"/>
        <v>3</v>
      </c>
      <c r="L36" s="9" t="s">
        <v>77</v>
      </c>
      <c r="M36" cm="1">
        <f t="array" ref="M36">SUMPRODUCT((A36:A1034=$L36)*(B36:B1034="sterling silver earrings")*(D36:D1034)*(E36:E1034)) / SUMIFS(E36:E1034, A36:A1034, $L36, B36:B1034, "sterling silver earrings")</f>
        <v>0</v>
      </c>
      <c r="N36" s="7" cm="1">
        <f t="array" ref="N36">SUMPRODUCT((A36:A1034=$L36)*(B36:B1034="silver hoop earrings for women")*(D36:D1034)*(E36:E1034)) / SUMIFS(E36:E1034, A36:A1034, $L36, B36:B1034, "silver hoop earrings for women")</f>
        <v>0</v>
      </c>
      <c r="O36" s="7" t="e" cm="1">
        <f t="array" ref="O36">SUMPRODUCT((A36:A1034=$L36)*(B36:B1034="hoop earrings")*(D36:D1034)*(E36:E1034)) / SUMIFS(E36:E1034, A36:A1034, $L36, B36:B1034, "hoop earrings")</f>
        <v>#DIV/0!</v>
      </c>
      <c r="P36" s="7" t="e" cm="1">
        <f t="array" ref="P36">SUMPRODUCT((A36:A1034=$L36)*(B36:B1034="silver hoops")*(D36:D1034)*(E36:E1034)) / SUMIFS(E36:E1034, A36:A1034, $L36, B36:B1034, "silver hoops")</f>
        <v>#DIV/0!</v>
      </c>
      <c r="Q36" s="7" t="e" cm="1">
        <f t="array" ref="Q36">SUMPRODUCT((A36:A1034=$L36)*(B36:B1034="sterling silver hoop earrings")*(D36:D1034)*(E36:E1034)) / SUMIFS(E36:E1034, A36:A1034, $L36, B36:B1034, "sterling silver hoop earrings")</f>
        <v>#DIV/0!</v>
      </c>
      <c r="R36" s="7" t="e" cm="1">
        <f t="array" ref="R36">SUMPRODUCT((A36:A1034=$L36)*(B36:B1034="silver hoop earrings")*(D36:D1034)*(E36:E1034)) / SUMIFS(E36:E1034, A36:A1034, $L36, B36:B1034, "silver hoop earrings")</f>
        <v>#DIV/0!</v>
      </c>
      <c r="S36" s="7" cm="1">
        <f t="array" ref="S36">SUMPRODUCT((A36:A1034=$L36)*(B36:B1034="925 sterling silver earrings")*(D36:D1034)*(E36:E1034)) / SUMIFS(E36:E1034, A36:A1034, $L36, B36:B1034, "925 sterling silver earrings")</f>
        <v>0</v>
      </c>
      <c r="T36" s="7" t="e" cm="1">
        <f t="array" ref="T36">SUMPRODUCT((A36:A1034=$L36)*(B36:B1034="hoops")*(D36:D1034)*(E36:E1034)) / SUMIFS(E36:E1034, A36:A1034, $L36, B36:B1034, "hoops")</f>
        <v>#DIV/0!</v>
      </c>
      <c r="U36" s="7" t="e" cm="1">
        <f t="array" ref="U36">SUMPRODUCT((A36:A1034=$L36)*(B36:B1034="hoops earrings for women")*(D36:D1034)*(E36:E1034)) / SUMIFS(E36:E1034, A36:A1034, $L36, B36:B1034, "hoops earrings for women")</f>
        <v>#DIV/0!</v>
      </c>
      <c r="V36" s="7" t="e" cm="1">
        <f t="array" ref="V36">SUMPRODUCT((A36:A1034=$L36)*(B36:B1034="silver hoops earrings for women")*(D36:D1034)*(E36:E1034)) / SUMIFS(E36:E1034, A36:A1034, $L36, B36:B1034, "silver hoops earrings for women")</f>
        <v>#DIV/0!</v>
      </c>
    </row>
    <row r="37" spans="1:22" x14ac:dyDescent="0.2">
      <c r="A37">
        <v>20250118</v>
      </c>
      <c r="B37" t="s">
        <v>9</v>
      </c>
      <c r="C37" t="s">
        <v>22</v>
      </c>
      <c r="D37">
        <v>1</v>
      </c>
      <c r="E37">
        <v>80</v>
      </c>
      <c r="F37">
        <v>0</v>
      </c>
      <c r="G37">
        <v>0</v>
      </c>
      <c r="H37" s="1">
        <f t="shared" si="0"/>
        <v>45675</v>
      </c>
      <c r="I37">
        <f t="shared" si="1"/>
        <v>3</v>
      </c>
      <c r="L37" s="9" t="s">
        <v>78</v>
      </c>
      <c r="M37" cm="1">
        <f t="array" ref="M37">SUMPRODUCT((A37:A1035=$L37)*(B37:B1035="sterling silver earrings")*(D37:D1035)*(E37:E1035)) / SUMIFS(E37:E1035, A37:A1035, $L37, B37:B1035, "sterling silver earrings")</f>
        <v>0</v>
      </c>
      <c r="N37" s="7" cm="1">
        <f t="array" ref="N37">SUMPRODUCT((A37:A1035=$L37)*(B37:B1035="silver hoop earrings for women")*(D37:D1035)*(E37:E1035)) / SUMIFS(E37:E1035, A37:A1035, $L37, B37:B1035, "silver hoop earrings for women")</f>
        <v>0</v>
      </c>
      <c r="O37" s="7" t="e" cm="1">
        <f t="array" ref="O37">SUMPRODUCT((A37:A1035=$L37)*(B37:B1035="hoop earrings")*(D37:D1035)*(E37:E1035)) / SUMIFS(E37:E1035, A37:A1035, $L37, B37:B1035, "hoop earrings")</f>
        <v>#DIV/0!</v>
      </c>
      <c r="P37" s="7" t="e" cm="1">
        <f t="array" ref="P37">SUMPRODUCT((A37:A1035=$L37)*(B37:B1035="silver hoops")*(D37:D1035)*(E37:E1035)) / SUMIFS(E37:E1035, A37:A1035, $L37, B37:B1035, "silver hoops")</f>
        <v>#DIV/0!</v>
      </c>
      <c r="Q37" s="7" t="e" cm="1">
        <f t="array" ref="Q37">SUMPRODUCT((A37:A1035=$L37)*(B37:B1035="sterling silver hoop earrings")*(D37:D1035)*(E37:E1035)) / SUMIFS(E37:E1035, A37:A1035, $L37, B37:B1035, "sterling silver hoop earrings")</f>
        <v>#DIV/0!</v>
      </c>
      <c r="R37" s="7" t="e" cm="1">
        <f t="array" ref="R37">SUMPRODUCT((A37:A1035=$L37)*(B37:B1035="silver hoop earrings")*(D37:D1035)*(E37:E1035)) / SUMIFS(E37:E1035, A37:A1035, $L37, B37:B1035, "silver hoop earrings")</f>
        <v>#DIV/0!</v>
      </c>
      <c r="S37" s="7" t="e" cm="1">
        <f t="array" ref="S37">SUMPRODUCT((A37:A1035=$L37)*(B37:B1035="925 sterling silver earrings")*(D37:D1035)*(E37:E1035)) / SUMIFS(E37:E1035, A37:A1035, $L37, B37:B1035, "925 sterling silver earrings")</f>
        <v>#DIV/0!</v>
      </c>
      <c r="T37" s="7" t="e" cm="1">
        <f t="array" ref="T37">SUMPRODUCT((A37:A1035=$L37)*(B37:B1035="hoops")*(D37:D1035)*(E37:E1035)) / SUMIFS(E37:E1035, A37:A1035, $L37, B37:B1035, "hoops")</f>
        <v>#DIV/0!</v>
      </c>
      <c r="U37" s="7" t="e" cm="1">
        <f t="array" ref="U37">SUMPRODUCT((A37:A1035=$L37)*(B37:B1035="hoops earrings for women")*(D37:D1035)*(E37:E1035)) / SUMIFS(E37:E1035, A37:A1035, $L37, B37:B1035, "hoops earrings for women")</f>
        <v>#DIV/0!</v>
      </c>
      <c r="V37" s="7" t="e" cm="1">
        <f t="array" ref="V37">SUMPRODUCT((A37:A1035=$L37)*(B37:B1035="silver hoops earrings for women")*(D37:D1035)*(E37:E1035)) / SUMIFS(E37:E1035, A37:A1035, $L37, B37:B1035, "silver hoops earrings for women")</f>
        <v>#DIV/0!</v>
      </c>
    </row>
    <row r="38" spans="1:22" x14ac:dyDescent="0.2">
      <c r="A38">
        <v>20250118</v>
      </c>
      <c r="B38" t="s">
        <v>9</v>
      </c>
      <c r="C38" t="s">
        <v>24</v>
      </c>
      <c r="D38">
        <v>1</v>
      </c>
      <c r="E38">
        <v>27</v>
      </c>
      <c r="F38">
        <v>0</v>
      </c>
      <c r="G38">
        <v>0</v>
      </c>
      <c r="H38" s="1">
        <f t="shared" si="0"/>
        <v>45675</v>
      </c>
      <c r="I38">
        <f t="shared" si="1"/>
        <v>3</v>
      </c>
      <c r="L38" s="9" t="s">
        <v>79</v>
      </c>
      <c r="M38" cm="1">
        <f t="array" ref="M38">SUMPRODUCT((A38:A1036=$L38)*(B38:B1036="sterling silver earrings")*(D38:D1036)*(E38:E1036)) / SUMIFS(E38:E1036, A38:A1036, $L38, B38:B1036, "sterling silver earrings")</f>
        <v>0</v>
      </c>
      <c r="N38" s="7" cm="1">
        <f t="array" ref="N38">SUMPRODUCT((A38:A1036=$L38)*(B38:B1036="silver hoop earrings for women")*(D38:D1036)*(E38:E1036)) / SUMIFS(E38:E1036, A38:A1036, $L38, B38:B1036, "silver hoop earrings for women")</f>
        <v>0</v>
      </c>
      <c r="O38" s="7" t="e" cm="1">
        <f t="array" ref="O38">SUMPRODUCT((A38:A1036=$L38)*(B38:B1036="hoop earrings")*(D38:D1036)*(E38:E1036)) / SUMIFS(E38:E1036, A38:A1036, $L38, B38:B1036, "hoop earrings")</f>
        <v>#DIV/0!</v>
      </c>
      <c r="P38" s="7" t="e" cm="1">
        <f t="array" ref="P38">SUMPRODUCT((A38:A1036=$L38)*(B38:B1036="silver hoops")*(D38:D1036)*(E38:E1036)) / SUMIFS(E38:E1036, A38:A1036, $L38, B38:B1036, "silver hoops")</f>
        <v>#DIV/0!</v>
      </c>
      <c r="Q38" s="7" cm="1">
        <f t="array" ref="Q38">SUMPRODUCT((A38:A1036=$L38)*(B38:B1036="sterling silver hoop earrings")*(D38:D1036)*(E38:E1036)) / SUMIFS(E38:E1036, A38:A1036, $L38, B38:B1036, "sterling silver hoop earrings")</f>
        <v>0</v>
      </c>
      <c r="R38" s="7" t="e" cm="1">
        <f t="array" ref="R38">SUMPRODUCT((A38:A1036=$L38)*(B38:B1036="silver hoop earrings")*(D38:D1036)*(E38:E1036)) / SUMIFS(E38:E1036, A38:A1036, $L38, B38:B1036, "silver hoop earrings")</f>
        <v>#DIV/0!</v>
      </c>
      <c r="S38" s="7" t="e" cm="1">
        <f t="array" ref="S38">SUMPRODUCT((A38:A1036=$L38)*(B38:B1036="925 sterling silver earrings")*(D38:D1036)*(E38:E1036)) / SUMIFS(E38:E1036, A38:A1036, $L38, B38:B1036, "925 sterling silver earrings")</f>
        <v>#DIV/0!</v>
      </c>
      <c r="T38" s="7" t="e" cm="1">
        <f t="array" ref="T38">SUMPRODUCT((A38:A1036=$L38)*(B38:B1036="hoops")*(D38:D1036)*(E38:E1036)) / SUMIFS(E38:E1036, A38:A1036, $L38, B38:B1036, "hoops")</f>
        <v>#DIV/0!</v>
      </c>
      <c r="U38" s="7" t="e" cm="1">
        <f t="array" ref="U38">SUMPRODUCT((A38:A1036=$L38)*(B38:B1036="hoops earrings for women")*(D38:D1036)*(E38:E1036)) / SUMIFS(E38:E1036, A38:A1036, $L38, B38:B1036, "hoops earrings for women")</f>
        <v>#DIV/0!</v>
      </c>
      <c r="V38" s="7" t="e" cm="1">
        <f t="array" ref="V38">SUMPRODUCT((A38:A1036=$L38)*(B38:B1036="silver hoops earrings for women")*(D38:D1036)*(E38:E1036)) / SUMIFS(E38:E1036, A38:A1036, $L38, B38:B1036, "silver hoops earrings for women")</f>
        <v>#DIV/0!</v>
      </c>
    </row>
    <row r="39" spans="1:22" x14ac:dyDescent="0.2">
      <c r="A39">
        <v>20250118</v>
      </c>
      <c r="B39" t="s">
        <v>10</v>
      </c>
      <c r="C39" t="s">
        <v>25</v>
      </c>
      <c r="D39">
        <v>2</v>
      </c>
      <c r="E39">
        <v>47</v>
      </c>
      <c r="F39">
        <v>0</v>
      </c>
      <c r="G39">
        <v>0</v>
      </c>
      <c r="H39" s="1">
        <f t="shared" si="0"/>
        <v>45675</v>
      </c>
      <c r="I39">
        <f t="shared" si="1"/>
        <v>3</v>
      </c>
      <c r="L39" s="9" t="s">
        <v>80</v>
      </c>
      <c r="M39" t="e" cm="1">
        <f t="array" ref="M39">SUMPRODUCT((A39:A1037=$L39)*(B39:B1037="sterling silver earrings")*(D39:D1037)*(E39:E1037)) / SUMIFS(E39:E1037, A39:A1037, $L39, B39:B1037, "sterling silver earrings")</f>
        <v>#DIV/0!</v>
      </c>
      <c r="N39" s="7" cm="1">
        <f t="array" ref="N39">SUMPRODUCT((A39:A1037=$L39)*(B39:B1037="silver hoop earrings for women")*(D39:D1037)*(E39:E1037)) / SUMIFS(E39:E1037, A39:A1037, $L39, B39:B1037, "silver hoop earrings for women")</f>
        <v>0</v>
      </c>
      <c r="O39" s="7" t="e" cm="1">
        <f t="array" ref="O39">SUMPRODUCT((A39:A1037=$L39)*(B39:B1037="hoop earrings")*(D39:D1037)*(E39:E1037)) / SUMIFS(E39:E1037, A39:A1037, $L39, B39:B1037, "hoop earrings")</f>
        <v>#DIV/0!</v>
      </c>
      <c r="P39" s="7" t="e" cm="1">
        <f t="array" ref="P39">SUMPRODUCT((A39:A1037=$L39)*(B39:B1037="silver hoops")*(D39:D1037)*(E39:E1037)) / SUMIFS(E39:E1037, A39:A1037, $L39, B39:B1037, "silver hoops")</f>
        <v>#DIV/0!</v>
      </c>
      <c r="Q39" s="7" t="e" cm="1">
        <f t="array" ref="Q39">SUMPRODUCT((A39:A1037=$L39)*(B39:B1037="sterling silver hoop earrings")*(D39:D1037)*(E39:E1037)) / SUMIFS(E39:E1037, A39:A1037, $L39, B39:B1037, "sterling silver hoop earrings")</f>
        <v>#DIV/0!</v>
      </c>
      <c r="R39" s="7" t="e" cm="1">
        <f t="array" ref="R39">SUMPRODUCT((A39:A1037=$L39)*(B39:B1037="silver hoop earrings")*(D39:D1037)*(E39:E1037)) / SUMIFS(E39:E1037, A39:A1037, $L39, B39:B1037, "silver hoop earrings")</f>
        <v>#DIV/0!</v>
      </c>
      <c r="S39" s="7" t="e" cm="1">
        <f t="array" ref="S39">SUMPRODUCT((A39:A1037=$L39)*(B39:B1037="925 sterling silver earrings")*(D39:D1037)*(E39:E1037)) / SUMIFS(E39:E1037, A39:A1037, $L39, B39:B1037, "925 sterling silver earrings")</f>
        <v>#DIV/0!</v>
      </c>
      <c r="T39" s="7" t="e" cm="1">
        <f t="array" ref="T39">SUMPRODUCT((A39:A1037=$L39)*(B39:B1037="hoops")*(D39:D1037)*(E39:E1037)) / SUMIFS(E39:E1037, A39:A1037, $L39, B39:B1037, "hoops")</f>
        <v>#DIV/0!</v>
      </c>
      <c r="U39" s="7" t="e" cm="1">
        <f t="array" ref="U39">SUMPRODUCT((A39:A1037=$L39)*(B39:B1037="hoops earrings for women")*(D39:D1037)*(E39:E1037)) / SUMIFS(E39:E1037, A39:A1037, $L39, B39:B1037, "hoops earrings for women")</f>
        <v>#DIV/0!</v>
      </c>
      <c r="V39" s="7" t="e" cm="1">
        <f t="array" ref="V39">SUMPRODUCT((A39:A1037=$L39)*(B39:B1037="silver hoops earrings for women")*(D39:D1037)*(E39:E1037)) / SUMIFS(E39:E1037, A39:A1037, $L39, B39:B1037, "silver hoops earrings for women")</f>
        <v>#DIV/0!</v>
      </c>
    </row>
    <row r="40" spans="1:22" x14ac:dyDescent="0.2">
      <c r="A40">
        <v>20250118</v>
      </c>
      <c r="B40" t="s">
        <v>10</v>
      </c>
      <c r="C40" t="s">
        <v>8</v>
      </c>
      <c r="D40">
        <v>1</v>
      </c>
      <c r="E40">
        <v>11</v>
      </c>
      <c r="F40">
        <v>0</v>
      </c>
      <c r="G40">
        <v>0</v>
      </c>
      <c r="H40" s="1">
        <f t="shared" si="0"/>
        <v>45675</v>
      </c>
      <c r="I40">
        <f t="shared" si="1"/>
        <v>3</v>
      </c>
      <c r="L40" s="9" t="s">
        <v>81</v>
      </c>
      <c r="M40" t="e" cm="1">
        <f t="array" ref="M40">SUMPRODUCT((A40:A1038=$L40)*(B40:B1038="sterling silver earrings")*(D40:D1038)*(E40:E1038)) / SUMIFS(E40:E1038, A40:A1038, $L40, B40:B1038, "sterling silver earrings")</f>
        <v>#DIV/0!</v>
      </c>
      <c r="N40" s="7" cm="1">
        <f t="array" ref="N40">SUMPRODUCT((A40:A1038=$L40)*(B40:B1038="silver hoop earrings for women")*(D40:D1038)*(E40:E1038)) / SUMIFS(E40:E1038, A40:A1038, $L40, B40:B1038, "silver hoop earrings for women")</f>
        <v>0</v>
      </c>
      <c r="O40" s="7" t="e" cm="1">
        <f t="array" ref="O40">SUMPRODUCT((A40:A1038=$L40)*(B40:B1038="hoop earrings")*(D40:D1038)*(E40:E1038)) / SUMIFS(E40:E1038, A40:A1038, $L40, B40:B1038, "hoop earrings")</f>
        <v>#DIV/0!</v>
      </c>
      <c r="P40" s="7" t="e" cm="1">
        <f t="array" ref="P40">SUMPRODUCT((A40:A1038=$L40)*(B40:B1038="silver hoops")*(D40:D1038)*(E40:E1038)) / SUMIFS(E40:E1038, A40:A1038, $L40, B40:B1038, "silver hoops")</f>
        <v>#DIV/0!</v>
      </c>
      <c r="Q40" s="7" t="e" cm="1">
        <f t="array" ref="Q40">SUMPRODUCT((A40:A1038=$L40)*(B40:B1038="sterling silver hoop earrings")*(D40:D1038)*(E40:E1038)) / SUMIFS(E40:E1038, A40:A1038, $L40, B40:B1038, "sterling silver hoop earrings")</f>
        <v>#DIV/0!</v>
      </c>
      <c r="R40" s="7" t="e" cm="1">
        <f t="array" ref="R40">SUMPRODUCT((A40:A1038=$L40)*(B40:B1038="silver hoop earrings")*(D40:D1038)*(E40:E1038)) / SUMIFS(E40:E1038, A40:A1038, $L40, B40:B1038, "silver hoop earrings")</f>
        <v>#DIV/0!</v>
      </c>
      <c r="S40" s="7" t="e" cm="1">
        <f t="array" ref="S40">SUMPRODUCT((A40:A1038=$L40)*(B40:B1038="925 sterling silver earrings")*(D40:D1038)*(E40:E1038)) / SUMIFS(E40:E1038, A40:A1038, $L40, B40:B1038, "925 sterling silver earrings")</f>
        <v>#DIV/0!</v>
      </c>
      <c r="T40" s="7" t="e" cm="1">
        <f t="array" ref="T40">SUMPRODUCT((A40:A1038=$L40)*(B40:B1038="hoops")*(D40:D1038)*(E40:E1038)) / SUMIFS(E40:E1038, A40:A1038, $L40, B40:B1038, "hoops")</f>
        <v>#DIV/0!</v>
      </c>
      <c r="U40" s="7" t="e" cm="1">
        <f t="array" ref="U40">SUMPRODUCT((A40:A1038=$L40)*(B40:B1038="hoops earrings for women")*(D40:D1038)*(E40:E1038)) / SUMIFS(E40:E1038, A40:A1038, $L40, B40:B1038, "hoops earrings for women")</f>
        <v>#DIV/0!</v>
      </c>
      <c r="V40" s="7" t="e" cm="1">
        <f t="array" ref="V40">SUMPRODUCT((A40:A1038=$L40)*(B40:B1038="silver hoops earrings for women")*(D40:D1038)*(E40:E1038)) / SUMIFS(E40:E1038, A40:A1038, $L40, B40:B1038, "silver hoops earrings for women")</f>
        <v>#DIV/0!</v>
      </c>
    </row>
    <row r="41" spans="1:22" x14ac:dyDescent="0.2">
      <c r="A41">
        <v>20250118</v>
      </c>
      <c r="B41" t="s">
        <v>10</v>
      </c>
      <c r="C41" t="s">
        <v>18</v>
      </c>
      <c r="D41">
        <v>1</v>
      </c>
      <c r="E41">
        <v>2</v>
      </c>
      <c r="F41">
        <v>0</v>
      </c>
      <c r="G41">
        <v>0</v>
      </c>
      <c r="H41" s="1">
        <f t="shared" si="0"/>
        <v>45675</v>
      </c>
      <c r="I41">
        <f t="shared" si="1"/>
        <v>3</v>
      </c>
      <c r="L41" s="9" t="s">
        <v>82</v>
      </c>
      <c r="M41" t="e" cm="1">
        <f t="array" ref="M41">SUMPRODUCT((A41:A1039=$L41)*(B41:B1039="sterling silver earrings")*(D41:D1039)*(E41:E1039)) / SUMIFS(E41:E1039, A41:A1039, $L41, B41:B1039, "sterling silver earrings")</f>
        <v>#DIV/0!</v>
      </c>
      <c r="N41" s="7" cm="1">
        <f t="array" ref="N41">SUMPRODUCT((A41:A1039=$L41)*(B41:B1039="silver hoop earrings for women")*(D41:D1039)*(E41:E1039)) / SUMIFS(E41:E1039, A41:A1039, $L41, B41:B1039, "silver hoop earrings for women")</f>
        <v>0</v>
      </c>
      <c r="O41" s="7" t="e" cm="1">
        <f t="array" ref="O41">SUMPRODUCT((A41:A1039=$L41)*(B41:B1039="hoop earrings")*(D41:D1039)*(E41:E1039)) / SUMIFS(E41:E1039, A41:A1039, $L41, B41:B1039, "hoop earrings")</f>
        <v>#DIV/0!</v>
      </c>
      <c r="P41" s="7" t="e" cm="1">
        <f t="array" ref="P41">SUMPRODUCT((A41:A1039=$L41)*(B41:B1039="silver hoops")*(D41:D1039)*(E41:E1039)) / SUMIFS(E41:E1039, A41:A1039, $L41, B41:B1039, "silver hoops")</f>
        <v>#DIV/0!</v>
      </c>
      <c r="Q41" s="7" t="e" cm="1">
        <f t="array" ref="Q41">SUMPRODUCT((A41:A1039=$L41)*(B41:B1039="sterling silver hoop earrings")*(D41:D1039)*(E41:E1039)) / SUMIFS(E41:E1039, A41:A1039, $L41, B41:B1039, "sterling silver hoop earrings")</f>
        <v>#DIV/0!</v>
      </c>
      <c r="R41" s="7" t="e" cm="1">
        <f t="array" ref="R41">SUMPRODUCT((A41:A1039=$L41)*(B41:B1039="silver hoop earrings")*(D41:D1039)*(E41:E1039)) / SUMIFS(E41:E1039, A41:A1039, $L41, B41:B1039, "silver hoop earrings")</f>
        <v>#DIV/0!</v>
      </c>
      <c r="S41" s="7" t="e" cm="1">
        <f t="array" ref="S41">SUMPRODUCT((A41:A1039=$L41)*(B41:B1039="925 sterling silver earrings")*(D41:D1039)*(E41:E1039)) / SUMIFS(E41:E1039, A41:A1039, $L41, B41:B1039, "925 sterling silver earrings")</f>
        <v>#DIV/0!</v>
      </c>
      <c r="T41" s="7" t="e" cm="1">
        <f t="array" ref="T41">SUMPRODUCT((A41:A1039=$L41)*(B41:B1039="hoops")*(D41:D1039)*(E41:E1039)) / SUMIFS(E41:E1039, A41:A1039, $L41, B41:B1039, "hoops")</f>
        <v>#DIV/0!</v>
      </c>
      <c r="U41" s="7" t="e" cm="1">
        <f t="array" ref="U41">SUMPRODUCT((A41:A1039=$L41)*(B41:B1039="hoops earrings for women")*(D41:D1039)*(E41:E1039)) / SUMIFS(E41:E1039, A41:A1039, $L41, B41:B1039, "hoops earrings for women")</f>
        <v>#DIV/0!</v>
      </c>
      <c r="V41" s="7" t="e" cm="1">
        <f t="array" ref="V41">SUMPRODUCT((A41:A1039=$L41)*(B41:B1039="silver hoops earrings for women")*(D41:D1039)*(E41:E1039)) / SUMIFS(E41:E1039, A41:A1039, $L41, B41:B1039, "silver hoops earrings for women")</f>
        <v>#DIV/0!</v>
      </c>
    </row>
    <row r="42" spans="1:22" x14ac:dyDescent="0.2">
      <c r="A42">
        <v>20250119</v>
      </c>
      <c r="B42" t="s">
        <v>12</v>
      </c>
      <c r="C42" t="s">
        <v>8</v>
      </c>
      <c r="D42">
        <v>1</v>
      </c>
      <c r="E42">
        <v>26</v>
      </c>
      <c r="F42">
        <v>0</v>
      </c>
      <c r="G42">
        <v>0</v>
      </c>
      <c r="H42" s="1">
        <f t="shared" si="0"/>
        <v>45676</v>
      </c>
      <c r="I42">
        <f t="shared" si="1"/>
        <v>4</v>
      </c>
      <c r="L42" s="9" t="s">
        <v>83</v>
      </c>
      <c r="M42" cm="1">
        <f t="array" ref="M42">SUMPRODUCT((A42:A1040=$L42)*(B42:B1040="sterling silver earrings")*(D42:D1040)*(E42:E1040)) / SUMIFS(E42:E1040, A42:A1040, $L42, B42:B1040, "sterling silver earrings")</f>
        <v>0</v>
      </c>
      <c r="N42" s="7" cm="1">
        <f t="array" ref="N42">SUMPRODUCT((A42:A1040=$L42)*(B42:B1040="silver hoop earrings for women")*(D42:D1040)*(E42:E1040)) / SUMIFS(E42:E1040, A42:A1040, $L42, B42:B1040, "silver hoop earrings for women")</f>
        <v>0</v>
      </c>
      <c r="O42" s="7" t="e" cm="1">
        <f t="array" ref="O42">SUMPRODUCT((A42:A1040=$L42)*(B42:B1040="hoop earrings")*(D42:D1040)*(E42:E1040)) / SUMIFS(E42:E1040, A42:A1040, $L42, B42:B1040, "hoop earrings")</f>
        <v>#DIV/0!</v>
      </c>
      <c r="P42" s="7" t="e" cm="1">
        <f t="array" ref="P42">SUMPRODUCT((A42:A1040=$L42)*(B42:B1040="silver hoops")*(D42:D1040)*(E42:E1040)) / SUMIFS(E42:E1040, A42:A1040, $L42, B42:B1040, "silver hoops")</f>
        <v>#DIV/0!</v>
      </c>
      <c r="Q42" s="7" cm="1">
        <f t="array" ref="Q42">SUMPRODUCT((A42:A1040=$L42)*(B42:B1040="sterling silver hoop earrings")*(D42:D1040)*(E42:E1040)) / SUMIFS(E42:E1040, A42:A1040, $L42, B42:B1040, "sterling silver hoop earrings")</f>
        <v>0</v>
      </c>
      <c r="R42" s="7" t="e" cm="1">
        <f t="array" ref="R42">SUMPRODUCT((A42:A1040=$L42)*(B42:B1040="silver hoop earrings")*(D42:D1040)*(E42:E1040)) / SUMIFS(E42:E1040, A42:A1040, $L42, B42:B1040, "silver hoop earrings")</f>
        <v>#DIV/0!</v>
      </c>
      <c r="S42" s="7" t="e" cm="1">
        <f t="array" ref="S42">SUMPRODUCT((A42:A1040=$L42)*(B42:B1040="925 sterling silver earrings")*(D42:D1040)*(E42:E1040)) / SUMIFS(E42:E1040, A42:A1040, $L42, B42:B1040, "925 sterling silver earrings")</f>
        <v>#DIV/0!</v>
      </c>
      <c r="T42" s="7" t="e" cm="1">
        <f t="array" ref="T42">SUMPRODUCT((A42:A1040=$L42)*(B42:B1040="hoops")*(D42:D1040)*(E42:E1040)) / SUMIFS(E42:E1040, A42:A1040, $L42, B42:B1040, "hoops")</f>
        <v>#DIV/0!</v>
      </c>
      <c r="U42" s="7" t="e" cm="1">
        <f t="array" ref="U42">SUMPRODUCT((A42:A1040=$L42)*(B42:B1040="hoops earrings for women")*(D42:D1040)*(E42:E1040)) / SUMIFS(E42:E1040, A42:A1040, $L42, B42:B1040, "hoops earrings for women")</f>
        <v>#DIV/0!</v>
      </c>
      <c r="V42" s="7" t="e" cm="1">
        <f t="array" ref="V42">SUMPRODUCT((A42:A1040=$L42)*(B42:B1040="silver hoops earrings for women")*(D42:D1040)*(E42:E1040)) / SUMIFS(E42:E1040, A42:A1040, $L42, B42:B1040, "silver hoops earrings for women")</f>
        <v>#DIV/0!</v>
      </c>
    </row>
    <row r="43" spans="1:22" x14ac:dyDescent="0.2">
      <c r="A43">
        <v>20250119</v>
      </c>
      <c r="B43" t="s">
        <v>16</v>
      </c>
      <c r="C43" t="s">
        <v>8</v>
      </c>
      <c r="D43">
        <v>1</v>
      </c>
      <c r="E43">
        <v>1</v>
      </c>
      <c r="F43">
        <v>0</v>
      </c>
      <c r="G43">
        <v>0</v>
      </c>
      <c r="H43" s="1">
        <f t="shared" si="0"/>
        <v>45676</v>
      </c>
      <c r="I43">
        <f t="shared" si="1"/>
        <v>4</v>
      </c>
      <c r="L43" s="9" t="s">
        <v>84</v>
      </c>
      <c r="M43" t="e" cm="1">
        <f t="array" ref="M43">SUMPRODUCT((A43:A1041=$L43)*(B43:B1041="sterling silver earrings")*(D43:D1041)*(E43:E1041)) / SUMIFS(E43:E1041, A43:A1041, $L43, B43:B1041, "sterling silver earrings")</f>
        <v>#DIV/0!</v>
      </c>
      <c r="N43" s="7" cm="1">
        <f t="array" ref="N43">SUMPRODUCT((A43:A1041=$L43)*(B43:B1041="silver hoop earrings for women")*(D43:D1041)*(E43:E1041)) / SUMIFS(E43:E1041, A43:A1041, $L43, B43:B1041, "silver hoop earrings for women")</f>
        <v>0</v>
      </c>
      <c r="O43" s="7" t="e" cm="1">
        <f t="array" ref="O43">SUMPRODUCT((A43:A1041=$L43)*(B43:B1041="hoop earrings")*(D43:D1041)*(E43:E1041)) / SUMIFS(E43:E1041, A43:A1041, $L43, B43:B1041, "hoop earrings")</f>
        <v>#DIV/0!</v>
      </c>
      <c r="P43" s="7" t="e" cm="1">
        <f t="array" ref="P43">SUMPRODUCT((A43:A1041=$L43)*(B43:B1041="silver hoops")*(D43:D1041)*(E43:E1041)) / SUMIFS(E43:E1041, A43:A1041, $L43, B43:B1041, "silver hoops")</f>
        <v>#DIV/0!</v>
      </c>
      <c r="Q43" s="7" t="e" cm="1">
        <f t="array" ref="Q43">SUMPRODUCT((A43:A1041=$L43)*(B43:B1041="sterling silver hoop earrings")*(D43:D1041)*(E43:E1041)) / SUMIFS(E43:E1041, A43:A1041, $L43, B43:B1041, "sterling silver hoop earrings")</f>
        <v>#DIV/0!</v>
      </c>
      <c r="R43" s="7" t="e" cm="1">
        <f t="array" ref="R43">SUMPRODUCT((A43:A1041=$L43)*(B43:B1041="silver hoop earrings")*(D43:D1041)*(E43:E1041)) / SUMIFS(E43:E1041, A43:A1041, $L43, B43:B1041, "silver hoop earrings")</f>
        <v>#DIV/0!</v>
      </c>
      <c r="S43" s="7" t="e" cm="1">
        <f t="array" ref="S43">SUMPRODUCT((A43:A1041=$L43)*(B43:B1041="925 sterling silver earrings")*(D43:D1041)*(E43:E1041)) / SUMIFS(E43:E1041, A43:A1041, $L43, B43:B1041, "925 sterling silver earrings")</f>
        <v>#DIV/0!</v>
      </c>
      <c r="T43" s="7" t="e" cm="1">
        <f t="array" ref="T43">SUMPRODUCT((A43:A1041=$L43)*(B43:B1041="hoops")*(D43:D1041)*(E43:E1041)) / SUMIFS(E43:E1041, A43:A1041, $L43, B43:B1041, "hoops")</f>
        <v>#DIV/0!</v>
      </c>
      <c r="U43" s="7" t="e" cm="1">
        <f t="array" ref="U43">SUMPRODUCT((A43:A1041=$L43)*(B43:B1041="hoops earrings for women")*(D43:D1041)*(E43:E1041)) / SUMIFS(E43:E1041, A43:A1041, $L43, B43:B1041, "hoops earrings for women")</f>
        <v>#DIV/0!</v>
      </c>
      <c r="V43" s="7" t="e" cm="1">
        <f t="array" ref="V43">SUMPRODUCT((A43:A1041=$L43)*(B43:B1041="silver hoops earrings for women")*(D43:D1041)*(E43:E1041)) / SUMIFS(E43:E1041, A43:A1041, $L43, B43:B1041, "silver hoops earrings for women")</f>
        <v>#DIV/0!</v>
      </c>
    </row>
    <row r="44" spans="1:22" x14ac:dyDescent="0.2">
      <c r="A44">
        <v>20250119</v>
      </c>
      <c r="B44" t="s">
        <v>10</v>
      </c>
      <c r="C44" t="s">
        <v>8</v>
      </c>
      <c r="D44">
        <v>2</v>
      </c>
      <c r="E44">
        <v>11.5</v>
      </c>
      <c r="F44">
        <v>0</v>
      </c>
      <c r="G44">
        <v>0</v>
      </c>
      <c r="H44" s="1">
        <f t="shared" si="0"/>
        <v>45676</v>
      </c>
      <c r="I44">
        <f t="shared" si="1"/>
        <v>4</v>
      </c>
      <c r="L44" s="9" t="s">
        <v>85</v>
      </c>
      <c r="M44" t="e" cm="1">
        <f t="array" ref="M44">SUMPRODUCT((A44:A1042=$L44)*(B44:B1042="sterling silver earrings")*(D44:D1042)*(E44:E1042)) / SUMIFS(E44:E1042, A44:A1042, $L44, B44:B1042, "sterling silver earrings")</f>
        <v>#DIV/0!</v>
      </c>
      <c r="N44" s="7" cm="1">
        <f t="array" ref="N44">SUMPRODUCT((A44:A1042=$L44)*(B44:B1042="silver hoop earrings for women")*(D44:D1042)*(E44:E1042)) / SUMIFS(E44:E1042, A44:A1042, $L44, B44:B1042, "silver hoop earrings for women")</f>
        <v>0</v>
      </c>
      <c r="O44" s="7" t="e" cm="1">
        <f t="array" ref="O44">SUMPRODUCT((A44:A1042=$L44)*(B44:B1042="hoop earrings")*(D44:D1042)*(E44:E1042)) / SUMIFS(E44:E1042, A44:A1042, $L44, B44:B1042, "hoop earrings")</f>
        <v>#DIV/0!</v>
      </c>
      <c r="P44" s="7" t="e" cm="1">
        <f t="array" ref="P44">SUMPRODUCT((A44:A1042=$L44)*(B44:B1042="silver hoops")*(D44:D1042)*(E44:E1042)) / SUMIFS(E44:E1042, A44:A1042, $L44, B44:B1042, "silver hoops")</f>
        <v>#DIV/0!</v>
      </c>
      <c r="Q44" s="7" t="e" cm="1">
        <f t="array" ref="Q44">SUMPRODUCT((A44:A1042=$L44)*(B44:B1042="sterling silver hoop earrings")*(D44:D1042)*(E44:E1042)) / SUMIFS(E44:E1042, A44:A1042, $L44, B44:B1042, "sterling silver hoop earrings")</f>
        <v>#DIV/0!</v>
      </c>
      <c r="R44" s="7" t="e" cm="1">
        <f t="array" ref="R44">SUMPRODUCT((A44:A1042=$L44)*(B44:B1042="silver hoop earrings")*(D44:D1042)*(E44:E1042)) / SUMIFS(E44:E1042, A44:A1042, $L44, B44:B1042, "silver hoop earrings")</f>
        <v>#DIV/0!</v>
      </c>
      <c r="S44" s="7" t="e" cm="1">
        <f t="array" ref="S44">SUMPRODUCT((A44:A1042=$L44)*(B44:B1042="925 sterling silver earrings")*(D44:D1042)*(E44:E1042)) / SUMIFS(E44:E1042, A44:A1042, $L44, B44:B1042, "925 sterling silver earrings")</f>
        <v>#DIV/0!</v>
      </c>
      <c r="T44" s="7" t="e" cm="1">
        <f t="array" ref="T44">SUMPRODUCT((A44:A1042=$L44)*(B44:B1042="hoops")*(D44:D1042)*(E44:E1042)) / SUMIFS(E44:E1042, A44:A1042, $L44, B44:B1042, "hoops")</f>
        <v>#DIV/0!</v>
      </c>
      <c r="U44" s="7" t="e" cm="1">
        <f t="array" ref="U44">SUMPRODUCT((A44:A1042=$L44)*(B44:B1042="hoops earrings for women")*(D44:D1042)*(E44:E1042)) / SUMIFS(E44:E1042, A44:A1042, $L44, B44:B1042, "hoops earrings for women")</f>
        <v>#DIV/0!</v>
      </c>
      <c r="V44" s="7" t="e" cm="1">
        <f t="array" ref="V44">SUMPRODUCT((A44:A1042=$L44)*(B44:B1042="silver hoops earrings for women")*(D44:D1042)*(E44:E1042)) / SUMIFS(E44:E1042, A44:A1042, $L44, B44:B1042, "silver hoops earrings for women")</f>
        <v>#DIV/0!</v>
      </c>
    </row>
    <row r="45" spans="1:22" x14ac:dyDescent="0.2">
      <c r="A45">
        <v>20250119</v>
      </c>
      <c r="B45" t="s">
        <v>10</v>
      </c>
      <c r="C45" t="s">
        <v>17</v>
      </c>
      <c r="D45">
        <v>1</v>
      </c>
      <c r="E45">
        <v>35</v>
      </c>
      <c r="F45">
        <v>0</v>
      </c>
      <c r="G45">
        <v>0</v>
      </c>
      <c r="H45" s="1">
        <f t="shared" si="0"/>
        <v>45676</v>
      </c>
      <c r="I45">
        <f t="shared" si="1"/>
        <v>4</v>
      </c>
      <c r="L45" s="9" t="s">
        <v>86</v>
      </c>
      <c r="M45" cm="1">
        <f t="array" ref="M45">SUMPRODUCT((A45:A1043=$L45)*(B45:B1043="sterling silver earrings")*(D45:D1043)*(E45:E1043)) / SUMIFS(E45:E1043, A45:A1043, $L45, B45:B1043, "sterling silver earrings")</f>
        <v>0</v>
      </c>
      <c r="N45" s="7" cm="1">
        <f t="array" ref="N45">SUMPRODUCT((A45:A1043=$L45)*(B45:B1043="silver hoop earrings for women")*(D45:D1043)*(E45:E1043)) / SUMIFS(E45:E1043, A45:A1043, $L45, B45:B1043, "silver hoop earrings for women")</f>
        <v>0</v>
      </c>
      <c r="O45" s="7" cm="1">
        <f t="array" ref="O45">SUMPRODUCT((A45:A1043=$L45)*(B45:B1043="hoop earrings")*(D45:D1043)*(E45:E1043)) / SUMIFS(E45:E1043, A45:A1043, $L45, B45:B1043, "hoop earrings")</f>
        <v>0</v>
      </c>
      <c r="P45" s="7" t="e" cm="1">
        <f t="array" ref="P45">SUMPRODUCT((A45:A1043=$L45)*(B45:B1043="silver hoops")*(D45:D1043)*(E45:E1043)) / SUMIFS(E45:E1043, A45:A1043, $L45, B45:B1043, "silver hoops")</f>
        <v>#DIV/0!</v>
      </c>
      <c r="Q45" s="7" cm="1">
        <f t="array" ref="Q45">SUMPRODUCT((A45:A1043=$L45)*(B45:B1043="sterling silver hoop earrings")*(D45:D1043)*(E45:E1043)) / SUMIFS(E45:E1043, A45:A1043, $L45, B45:B1043, "sterling silver hoop earrings")</f>
        <v>0</v>
      </c>
      <c r="R45" s="7" t="e" cm="1">
        <f t="array" ref="R45">SUMPRODUCT((A45:A1043=$L45)*(B45:B1043="silver hoop earrings")*(D45:D1043)*(E45:E1043)) / SUMIFS(E45:E1043, A45:A1043, $L45, B45:B1043, "silver hoop earrings")</f>
        <v>#DIV/0!</v>
      </c>
      <c r="S45" s="7" t="e" cm="1">
        <f t="array" ref="S45">SUMPRODUCT((A45:A1043=$L45)*(B45:B1043="925 sterling silver earrings")*(D45:D1043)*(E45:E1043)) / SUMIFS(E45:E1043, A45:A1043, $L45, B45:B1043, "925 sterling silver earrings")</f>
        <v>#DIV/0!</v>
      </c>
      <c r="T45" s="7" t="e" cm="1">
        <f t="array" ref="T45">SUMPRODUCT((A45:A1043=$L45)*(B45:B1043="hoops")*(D45:D1043)*(E45:E1043)) / SUMIFS(E45:E1043, A45:A1043, $L45, B45:B1043, "hoops")</f>
        <v>#DIV/0!</v>
      </c>
      <c r="U45" s="7" t="e" cm="1">
        <f t="array" ref="U45">SUMPRODUCT((A45:A1043=$L45)*(B45:B1043="hoops earrings for women")*(D45:D1043)*(E45:E1043)) / SUMIFS(E45:E1043, A45:A1043, $L45, B45:B1043, "hoops earrings for women")</f>
        <v>#DIV/0!</v>
      </c>
      <c r="V45" s="7" t="e" cm="1">
        <f t="array" ref="V45">SUMPRODUCT((A45:A1043=$L45)*(B45:B1043="silver hoops earrings for women")*(D45:D1043)*(E45:E1043)) / SUMIFS(E45:E1043, A45:A1043, $L45, B45:B1043, "silver hoops earrings for women")</f>
        <v>#DIV/0!</v>
      </c>
    </row>
    <row r="46" spans="1:22" x14ac:dyDescent="0.2">
      <c r="A46">
        <v>20250119</v>
      </c>
      <c r="B46" t="s">
        <v>10</v>
      </c>
      <c r="C46" t="s">
        <v>32</v>
      </c>
      <c r="D46">
        <v>1</v>
      </c>
      <c r="E46">
        <v>13</v>
      </c>
      <c r="F46">
        <v>0</v>
      </c>
      <c r="G46">
        <v>0</v>
      </c>
      <c r="H46" s="1">
        <f t="shared" si="0"/>
        <v>45676</v>
      </c>
      <c r="I46">
        <f t="shared" si="1"/>
        <v>4</v>
      </c>
      <c r="L46" s="9" t="s">
        <v>87</v>
      </c>
      <c r="M46" cm="1">
        <f t="array" ref="M46">SUMPRODUCT((A46:A1044=$L46)*(B46:B1044="sterling silver earrings")*(D46:D1044)*(E46:E1044)) / SUMIFS(E46:E1044, A46:A1044, $L46, B46:B1044, "sterling silver earrings")</f>
        <v>0</v>
      </c>
      <c r="N46" s="7" cm="1">
        <f t="array" ref="N46">SUMPRODUCT((A46:A1044=$L46)*(B46:B1044="silver hoop earrings for women")*(D46:D1044)*(E46:E1044)) / SUMIFS(E46:E1044, A46:A1044, $L46, B46:B1044, "silver hoop earrings for women")</f>
        <v>0</v>
      </c>
      <c r="O46" s="7" t="e" cm="1">
        <f t="array" ref="O46">SUMPRODUCT((A46:A1044=$L46)*(B46:B1044="hoop earrings")*(D46:D1044)*(E46:E1044)) / SUMIFS(E46:E1044, A46:A1044, $L46, B46:B1044, "hoop earrings")</f>
        <v>#DIV/0!</v>
      </c>
      <c r="P46" s="7" t="e" cm="1">
        <f t="array" ref="P46">SUMPRODUCT((A46:A1044=$L46)*(B46:B1044="silver hoops")*(D46:D1044)*(E46:E1044)) / SUMIFS(E46:E1044, A46:A1044, $L46, B46:B1044, "silver hoops")</f>
        <v>#DIV/0!</v>
      </c>
      <c r="Q46" s="7" t="e" cm="1">
        <f t="array" ref="Q46">SUMPRODUCT((A46:A1044=$L46)*(B46:B1044="sterling silver hoop earrings")*(D46:D1044)*(E46:E1044)) / SUMIFS(E46:E1044, A46:A1044, $L46, B46:B1044, "sterling silver hoop earrings")</f>
        <v>#DIV/0!</v>
      </c>
      <c r="R46" s="7" t="e" cm="1">
        <f t="array" ref="R46">SUMPRODUCT((A46:A1044=$L46)*(B46:B1044="silver hoop earrings")*(D46:D1044)*(E46:E1044)) / SUMIFS(E46:E1044, A46:A1044, $L46, B46:B1044, "silver hoop earrings")</f>
        <v>#DIV/0!</v>
      </c>
      <c r="S46" s="7" t="e" cm="1">
        <f t="array" ref="S46">SUMPRODUCT((A46:A1044=$L46)*(B46:B1044="925 sterling silver earrings")*(D46:D1044)*(E46:E1044)) / SUMIFS(E46:E1044, A46:A1044, $L46, B46:B1044, "925 sterling silver earrings")</f>
        <v>#DIV/0!</v>
      </c>
      <c r="T46" s="7" t="e" cm="1">
        <f t="array" ref="T46">SUMPRODUCT((A46:A1044=$L46)*(B46:B1044="hoops")*(D46:D1044)*(E46:E1044)) / SUMIFS(E46:E1044, A46:A1044, $L46, B46:B1044, "hoops")</f>
        <v>#DIV/0!</v>
      </c>
      <c r="U46" s="7" t="e" cm="1">
        <f t="array" ref="U46">SUMPRODUCT((A46:A1044=$L46)*(B46:B1044="hoops earrings for women")*(D46:D1044)*(E46:E1044)) / SUMIFS(E46:E1044, A46:A1044, $L46, B46:B1044, "hoops earrings for women")</f>
        <v>#DIV/0!</v>
      </c>
      <c r="V46" s="7" t="e" cm="1">
        <f t="array" ref="V46">SUMPRODUCT((A46:A1044=$L46)*(B46:B1044="silver hoops earrings for women")*(D46:D1044)*(E46:E1044)) / SUMIFS(E46:E1044, A46:A1044, $L46, B46:B1044, "silver hoops earrings for women")</f>
        <v>#DIV/0!</v>
      </c>
    </row>
    <row r="47" spans="1:22" x14ac:dyDescent="0.2">
      <c r="A47">
        <v>20250120</v>
      </c>
      <c r="B47" t="s">
        <v>16</v>
      </c>
      <c r="C47" t="s">
        <v>8</v>
      </c>
      <c r="D47">
        <v>1</v>
      </c>
      <c r="E47">
        <v>16</v>
      </c>
      <c r="F47">
        <v>0</v>
      </c>
      <c r="G47">
        <v>0</v>
      </c>
      <c r="H47" s="1">
        <f t="shared" si="0"/>
        <v>45677</v>
      </c>
      <c r="I47">
        <f t="shared" si="1"/>
        <v>4</v>
      </c>
      <c r="L47" s="9" t="s">
        <v>88</v>
      </c>
      <c r="M47" t="e" cm="1">
        <f t="array" ref="M47">SUMPRODUCT((A47:A1045=$L47)*(B47:B1045="sterling silver earrings")*(D47:D1045)*(E47:E1045)) / SUMIFS(E47:E1045, A47:A1045, $L47, B47:B1045, "sterling silver earrings")</f>
        <v>#DIV/0!</v>
      </c>
      <c r="N47" s="7" cm="1">
        <f t="array" ref="N47">SUMPRODUCT((A47:A1045=$L47)*(B47:B1045="silver hoop earrings for women")*(D47:D1045)*(E47:E1045)) / SUMIFS(E47:E1045, A47:A1045, $L47, B47:B1045, "silver hoop earrings for women")</f>
        <v>0</v>
      </c>
      <c r="O47" s="7" t="e" cm="1">
        <f t="array" ref="O47">SUMPRODUCT((A47:A1045=$L47)*(B47:B1045="hoop earrings")*(D47:D1045)*(E47:E1045)) / SUMIFS(E47:E1045, A47:A1045, $L47, B47:B1045, "hoop earrings")</f>
        <v>#DIV/0!</v>
      </c>
      <c r="P47" s="7" t="e" cm="1">
        <f t="array" ref="P47">SUMPRODUCT((A47:A1045=$L47)*(B47:B1045="silver hoops")*(D47:D1045)*(E47:E1045)) / SUMIFS(E47:E1045, A47:A1045, $L47, B47:B1045, "silver hoops")</f>
        <v>#DIV/0!</v>
      </c>
      <c r="Q47" s="7" cm="1">
        <f t="array" ref="Q47">SUMPRODUCT((A47:A1045=$L47)*(B47:B1045="sterling silver hoop earrings")*(D47:D1045)*(E47:E1045)) / SUMIFS(E47:E1045, A47:A1045, $L47, B47:B1045, "sterling silver hoop earrings")</f>
        <v>0</v>
      </c>
      <c r="R47" s="7" t="e" cm="1">
        <f t="array" ref="R47">SUMPRODUCT((A47:A1045=$L47)*(B47:B1045="silver hoop earrings")*(D47:D1045)*(E47:E1045)) / SUMIFS(E47:E1045, A47:A1045, $L47, B47:B1045, "silver hoop earrings")</f>
        <v>#DIV/0!</v>
      </c>
      <c r="S47" s="7" t="e" cm="1">
        <f t="array" ref="S47">SUMPRODUCT((A47:A1045=$L47)*(B47:B1045="925 sterling silver earrings")*(D47:D1045)*(E47:E1045)) / SUMIFS(E47:E1045, A47:A1045, $L47, B47:B1045, "925 sterling silver earrings")</f>
        <v>#DIV/0!</v>
      </c>
      <c r="T47" s="7" t="e" cm="1">
        <f t="array" ref="T47">SUMPRODUCT((A47:A1045=$L47)*(B47:B1045="hoops")*(D47:D1045)*(E47:E1045)) / SUMIFS(E47:E1045, A47:A1045, $L47, B47:B1045, "hoops")</f>
        <v>#DIV/0!</v>
      </c>
      <c r="U47" s="7" t="e" cm="1">
        <f t="array" ref="U47">SUMPRODUCT((A47:A1045=$L47)*(B47:B1045="hoops earrings for women")*(D47:D1045)*(E47:E1045)) / SUMIFS(E47:E1045, A47:A1045, $L47, B47:B1045, "hoops earrings for women")</f>
        <v>#DIV/0!</v>
      </c>
      <c r="V47" s="7" t="e" cm="1">
        <f t="array" ref="V47">SUMPRODUCT((A47:A1045=$L47)*(B47:B1045="silver hoops earrings for women")*(D47:D1045)*(E47:E1045)) / SUMIFS(E47:E1045, A47:A1045, $L47, B47:B1045, "silver hoops earrings for women")</f>
        <v>#DIV/0!</v>
      </c>
    </row>
    <row r="48" spans="1:22" x14ac:dyDescent="0.2">
      <c r="A48">
        <v>20250120</v>
      </c>
      <c r="B48" t="s">
        <v>16</v>
      </c>
      <c r="C48" t="s">
        <v>13</v>
      </c>
      <c r="D48">
        <v>1</v>
      </c>
      <c r="E48">
        <v>1</v>
      </c>
      <c r="F48">
        <v>0</v>
      </c>
      <c r="G48">
        <v>0</v>
      </c>
      <c r="H48" s="1">
        <f t="shared" si="0"/>
        <v>45677</v>
      </c>
      <c r="I48">
        <f t="shared" si="1"/>
        <v>4</v>
      </c>
      <c r="L48" s="9" t="s">
        <v>89</v>
      </c>
      <c r="M48" t="e" cm="1">
        <f t="array" ref="M48">SUMPRODUCT((A48:A1046=$L48)*(B48:B1046="sterling silver earrings")*(D48:D1046)*(E48:E1046)) / SUMIFS(E48:E1046, A48:A1046, $L48, B48:B1046, "sterling silver earrings")</f>
        <v>#DIV/0!</v>
      </c>
      <c r="N48" s="7" cm="1">
        <f t="array" ref="N48">SUMPRODUCT((A48:A1046=$L48)*(B48:B1046="silver hoop earrings for women")*(D48:D1046)*(E48:E1046)) / SUMIFS(E48:E1046, A48:A1046, $L48, B48:B1046, "silver hoop earrings for women")</f>
        <v>0</v>
      </c>
      <c r="O48" s="7" t="e" cm="1">
        <f t="array" ref="O48">SUMPRODUCT((A48:A1046=$L48)*(B48:B1046="hoop earrings")*(D48:D1046)*(E48:E1046)) / SUMIFS(E48:E1046, A48:A1046, $L48, B48:B1046, "hoop earrings")</f>
        <v>#DIV/0!</v>
      </c>
      <c r="P48" s="7" cm="1">
        <f t="array" ref="P48">SUMPRODUCT((A48:A1046=$L48)*(B48:B1046="silver hoops")*(D48:D1046)*(E48:E1046)) / SUMIFS(E48:E1046, A48:A1046, $L48, B48:B1046, "silver hoops")</f>
        <v>0</v>
      </c>
      <c r="Q48" s="7" cm="1">
        <f t="array" ref="Q48">SUMPRODUCT((A48:A1046=$L48)*(B48:B1046="sterling silver hoop earrings")*(D48:D1046)*(E48:E1046)) / SUMIFS(E48:E1046, A48:A1046, $L48, B48:B1046, "sterling silver hoop earrings")</f>
        <v>0</v>
      </c>
      <c r="R48" s="7" cm="1">
        <f t="array" ref="R48">SUMPRODUCT((A48:A1046=$L48)*(B48:B1046="silver hoop earrings")*(D48:D1046)*(E48:E1046)) / SUMIFS(E48:E1046, A48:A1046, $L48, B48:B1046, "silver hoop earrings")</f>
        <v>0</v>
      </c>
      <c r="S48" s="7" t="e" cm="1">
        <f t="array" ref="S48">SUMPRODUCT((A48:A1046=$L48)*(B48:B1046="925 sterling silver earrings")*(D48:D1046)*(E48:E1046)) / SUMIFS(E48:E1046, A48:A1046, $L48, B48:B1046, "925 sterling silver earrings")</f>
        <v>#DIV/0!</v>
      </c>
      <c r="T48" s="7" t="e" cm="1">
        <f t="array" ref="T48">SUMPRODUCT((A48:A1046=$L48)*(B48:B1046="hoops")*(D48:D1046)*(E48:E1046)) / SUMIFS(E48:E1046, A48:A1046, $L48, B48:B1046, "hoops")</f>
        <v>#DIV/0!</v>
      </c>
      <c r="U48" s="7" t="e" cm="1">
        <f t="array" ref="U48">SUMPRODUCT((A48:A1046=$L48)*(B48:B1046="hoops earrings for women")*(D48:D1046)*(E48:E1046)) / SUMIFS(E48:E1046, A48:A1046, $L48, B48:B1046, "hoops earrings for women")</f>
        <v>#DIV/0!</v>
      </c>
      <c r="V48" s="7" t="e" cm="1">
        <f t="array" ref="V48">SUMPRODUCT((A48:A1046=$L48)*(B48:B1046="silver hoops earrings for women")*(D48:D1046)*(E48:E1046)) / SUMIFS(E48:E1046, A48:A1046, $L48, B48:B1046, "silver hoops earrings for women")</f>
        <v>#DIV/0!</v>
      </c>
    </row>
    <row r="49" spans="1:22" x14ac:dyDescent="0.2">
      <c r="A49">
        <v>20250120</v>
      </c>
      <c r="B49" t="s">
        <v>7</v>
      </c>
      <c r="C49" t="s">
        <v>8</v>
      </c>
      <c r="D49">
        <v>2</v>
      </c>
      <c r="E49">
        <v>1.5</v>
      </c>
      <c r="F49">
        <v>0</v>
      </c>
      <c r="G49">
        <v>0</v>
      </c>
      <c r="H49" s="1">
        <f t="shared" si="0"/>
        <v>45677</v>
      </c>
      <c r="I49">
        <f t="shared" si="1"/>
        <v>4</v>
      </c>
      <c r="L49" s="9" t="s">
        <v>90</v>
      </c>
      <c r="M49" t="e" cm="1">
        <f t="array" ref="M49">SUMPRODUCT((A49:A1047=$L49)*(B49:B1047="sterling silver earrings")*(D49:D1047)*(E49:E1047)) / SUMIFS(E49:E1047, A49:A1047, $L49, B49:B1047, "sterling silver earrings")</f>
        <v>#DIV/0!</v>
      </c>
      <c r="N49" s="7" cm="1">
        <f t="array" ref="N49">SUMPRODUCT((A49:A1047=$L49)*(B49:B1047="silver hoop earrings for women")*(D49:D1047)*(E49:E1047)) / SUMIFS(E49:E1047, A49:A1047, $L49, B49:B1047, "silver hoop earrings for women")</f>
        <v>0</v>
      </c>
      <c r="O49" s="7" t="e" cm="1">
        <f t="array" ref="O49">SUMPRODUCT((A49:A1047=$L49)*(B49:B1047="hoop earrings")*(D49:D1047)*(E49:E1047)) / SUMIFS(E49:E1047, A49:A1047, $L49, B49:B1047, "hoop earrings")</f>
        <v>#DIV/0!</v>
      </c>
      <c r="P49" s="7" t="e" cm="1">
        <f t="array" ref="P49">SUMPRODUCT((A49:A1047=$L49)*(B49:B1047="silver hoops")*(D49:D1047)*(E49:E1047)) / SUMIFS(E49:E1047, A49:A1047, $L49, B49:B1047, "silver hoops")</f>
        <v>#DIV/0!</v>
      </c>
      <c r="Q49" s="7" t="e" cm="1">
        <f t="array" ref="Q49">SUMPRODUCT((A49:A1047=$L49)*(B49:B1047="sterling silver hoop earrings")*(D49:D1047)*(E49:E1047)) / SUMIFS(E49:E1047, A49:A1047, $L49, B49:B1047, "sterling silver hoop earrings")</f>
        <v>#DIV/0!</v>
      </c>
      <c r="R49" s="7" t="e" cm="1">
        <f t="array" ref="R49">SUMPRODUCT((A49:A1047=$L49)*(B49:B1047="silver hoop earrings")*(D49:D1047)*(E49:E1047)) / SUMIFS(E49:E1047, A49:A1047, $L49, B49:B1047, "silver hoop earrings")</f>
        <v>#DIV/0!</v>
      </c>
      <c r="S49" s="7" t="e" cm="1">
        <f t="array" ref="S49">SUMPRODUCT((A49:A1047=$L49)*(B49:B1047="925 sterling silver earrings")*(D49:D1047)*(E49:E1047)) / SUMIFS(E49:E1047, A49:A1047, $L49, B49:B1047, "925 sterling silver earrings")</f>
        <v>#DIV/0!</v>
      </c>
      <c r="T49" s="7" t="e" cm="1">
        <f t="array" ref="T49">SUMPRODUCT((A49:A1047=$L49)*(B49:B1047="hoops")*(D49:D1047)*(E49:E1047)) / SUMIFS(E49:E1047, A49:A1047, $L49, B49:B1047, "hoops")</f>
        <v>#DIV/0!</v>
      </c>
      <c r="U49" s="7" t="e" cm="1">
        <f t="array" ref="U49">SUMPRODUCT((A49:A1047=$L49)*(B49:B1047="hoops earrings for women")*(D49:D1047)*(E49:E1047)) / SUMIFS(E49:E1047, A49:A1047, $L49, B49:B1047, "hoops earrings for women")</f>
        <v>#DIV/0!</v>
      </c>
      <c r="V49" s="7" t="e" cm="1">
        <f t="array" ref="V49">SUMPRODUCT((A49:A1047=$L49)*(B49:B1047="silver hoops earrings for women")*(D49:D1047)*(E49:E1047)) / SUMIFS(E49:E1047, A49:A1047, $L49, B49:B1047, "silver hoops earrings for women")</f>
        <v>#DIV/0!</v>
      </c>
    </row>
    <row r="50" spans="1:22" x14ac:dyDescent="0.2">
      <c r="A50">
        <v>20250120</v>
      </c>
      <c r="B50" t="s">
        <v>23</v>
      </c>
      <c r="C50" t="s">
        <v>8</v>
      </c>
      <c r="D50">
        <v>1</v>
      </c>
      <c r="E50">
        <v>12</v>
      </c>
      <c r="F50">
        <v>0</v>
      </c>
      <c r="G50">
        <v>0</v>
      </c>
      <c r="H50" s="1">
        <f t="shared" si="0"/>
        <v>45677</v>
      </c>
      <c r="I50">
        <f t="shared" si="1"/>
        <v>4</v>
      </c>
      <c r="L50" s="9" t="s">
        <v>91</v>
      </c>
      <c r="M50" t="e" cm="1">
        <f t="array" ref="M50">SUMPRODUCT((A50:A1048=$L50)*(B50:B1048="sterling silver earrings")*(D50:D1048)*(E50:E1048)) / SUMIFS(E50:E1048, A50:A1048, $L50, B50:B1048, "sterling silver earrings")</f>
        <v>#DIV/0!</v>
      </c>
      <c r="N50" s="7" cm="1">
        <f t="array" ref="N50">SUMPRODUCT((A50:A1048=$L50)*(B50:B1048="silver hoop earrings for women")*(D50:D1048)*(E50:E1048)) / SUMIFS(E50:E1048, A50:A1048, $L50, B50:B1048, "silver hoop earrings for women")</f>
        <v>0</v>
      </c>
      <c r="O50" s="7" t="e" cm="1">
        <f t="array" ref="O50">SUMPRODUCT((A50:A1048=$L50)*(B50:B1048="hoop earrings")*(D50:D1048)*(E50:E1048)) / SUMIFS(E50:E1048, A50:A1048, $L50, B50:B1048, "hoop earrings")</f>
        <v>#DIV/0!</v>
      </c>
      <c r="P50" s="7" t="e" cm="1">
        <f t="array" ref="P50">SUMPRODUCT((A50:A1048=$L50)*(B50:B1048="silver hoops")*(D50:D1048)*(E50:E1048)) / SUMIFS(E50:E1048, A50:A1048, $L50, B50:B1048, "silver hoops")</f>
        <v>#DIV/0!</v>
      </c>
      <c r="Q50" s="7" cm="1">
        <f t="array" ref="Q50">SUMPRODUCT((A50:A1048=$L50)*(B50:B1048="sterling silver hoop earrings")*(D50:D1048)*(E50:E1048)) / SUMIFS(E50:E1048, A50:A1048, $L50, B50:B1048, "sterling silver hoop earrings")</f>
        <v>0</v>
      </c>
      <c r="R50" s="7" t="e" cm="1">
        <f t="array" ref="R50">SUMPRODUCT((A50:A1048=$L50)*(B50:B1048="silver hoop earrings")*(D50:D1048)*(E50:E1048)) / SUMIFS(E50:E1048, A50:A1048, $L50, B50:B1048, "silver hoop earrings")</f>
        <v>#DIV/0!</v>
      </c>
      <c r="S50" s="7" t="e" cm="1">
        <f t="array" ref="S50">SUMPRODUCT((A50:A1048=$L50)*(B50:B1048="925 sterling silver earrings")*(D50:D1048)*(E50:E1048)) / SUMIFS(E50:E1048, A50:A1048, $L50, B50:B1048, "925 sterling silver earrings")</f>
        <v>#DIV/0!</v>
      </c>
      <c r="T50" s="7" t="e" cm="1">
        <f t="array" ref="T50">SUMPRODUCT((A50:A1048=$L50)*(B50:B1048="hoops")*(D50:D1048)*(E50:E1048)) / SUMIFS(E50:E1048, A50:A1048, $L50, B50:B1048, "hoops")</f>
        <v>#DIV/0!</v>
      </c>
      <c r="U50" s="7" t="e" cm="1">
        <f t="array" ref="U50">SUMPRODUCT((A50:A1048=$L50)*(B50:B1048="hoops earrings for women")*(D50:D1048)*(E50:E1048)) / SUMIFS(E50:E1048, A50:A1048, $L50, B50:B1048, "hoops earrings for women")</f>
        <v>#DIV/0!</v>
      </c>
      <c r="V50" s="7" t="e" cm="1">
        <f t="array" ref="V50">SUMPRODUCT((A50:A1048=$L50)*(B50:B1048="silver hoops earrings for women")*(D50:D1048)*(E50:E1048)) / SUMIFS(E50:E1048, A50:A1048, $L50, B50:B1048, "silver hoops earrings for women")</f>
        <v>#DIV/0!</v>
      </c>
    </row>
    <row r="51" spans="1:22" x14ac:dyDescent="0.2">
      <c r="A51">
        <v>20250120</v>
      </c>
      <c r="B51" t="s">
        <v>9</v>
      </c>
      <c r="C51" t="s">
        <v>13</v>
      </c>
      <c r="D51">
        <v>1</v>
      </c>
      <c r="E51">
        <v>1</v>
      </c>
      <c r="F51">
        <v>0</v>
      </c>
      <c r="G51">
        <v>0</v>
      </c>
      <c r="H51" s="1">
        <f t="shared" si="0"/>
        <v>45677</v>
      </c>
      <c r="I51">
        <f t="shared" si="1"/>
        <v>4</v>
      </c>
      <c r="L51" s="9" t="s">
        <v>92</v>
      </c>
      <c r="M51" t="e" cm="1">
        <f t="array" ref="M51">SUMPRODUCT((A51:A1049=$L51)*(B51:B1049="sterling silver earrings")*(D51:D1049)*(E51:E1049)) / SUMIFS(E51:E1049, A51:A1049, $L51, B51:B1049, "sterling silver earrings")</f>
        <v>#DIV/0!</v>
      </c>
      <c r="N51" s="7" cm="1">
        <f t="array" ref="N51">SUMPRODUCT((A51:A1049=$L51)*(B51:B1049="silver hoop earrings for women")*(D51:D1049)*(E51:E1049)) / SUMIFS(E51:E1049, A51:A1049, $L51, B51:B1049, "silver hoop earrings for women")</f>
        <v>0</v>
      </c>
      <c r="O51" s="7" t="e" cm="1">
        <f t="array" ref="O51">SUMPRODUCT((A51:A1049=$L51)*(B51:B1049="hoop earrings")*(D51:D1049)*(E51:E1049)) / SUMIFS(E51:E1049, A51:A1049, $L51, B51:B1049, "hoop earrings")</f>
        <v>#DIV/0!</v>
      </c>
      <c r="P51" s="7" t="e" cm="1">
        <f t="array" ref="P51">SUMPRODUCT((A51:A1049=$L51)*(B51:B1049="silver hoops")*(D51:D1049)*(E51:E1049)) / SUMIFS(E51:E1049, A51:A1049, $L51, B51:B1049, "silver hoops")</f>
        <v>#DIV/0!</v>
      </c>
      <c r="Q51" s="7" cm="1">
        <f t="array" ref="Q51">SUMPRODUCT((A51:A1049=$L51)*(B51:B1049="sterling silver hoop earrings")*(D51:D1049)*(E51:E1049)) / SUMIFS(E51:E1049, A51:A1049, $L51, B51:B1049, "sterling silver hoop earrings")</f>
        <v>0</v>
      </c>
      <c r="R51" s="7" t="e" cm="1">
        <f t="array" ref="R51">SUMPRODUCT((A51:A1049=$L51)*(B51:B1049="silver hoop earrings")*(D51:D1049)*(E51:E1049)) / SUMIFS(E51:E1049, A51:A1049, $L51, B51:B1049, "silver hoop earrings")</f>
        <v>#DIV/0!</v>
      </c>
      <c r="S51" s="7" t="e" cm="1">
        <f t="array" ref="S51">SUMPRODUCT((A51:A1049=$L51)*(B51:B1049="925 sterling silver earrings")*(D51:D1049)*(E51:E1049)) / SUMIFS(E51:E1049, A51:A1049, $L51, B51:B1049, "925 sterling silver earrings")</f>
        <v>#DIV/0!</v>
      </c>
      <c r="T51" s="7" t="e" cm="1">
        <f t="array" ref="T51">SUMPRODUCT((A51:A1049=$L51)*(B51:B1049="hoops")*(D51:D1049)*(E51:E1049)) / SUMIFS(E51:E1049, A51:A1049, $L51, B51:B1049, "hoops")</f>
        <v>#DIV/0!</v>
      </c>
      <c r="U51" s="7" t="e" cm="1">
        <f t="array" ref="U51">SUMPRODUCT((A51:A1049=$L51)*(B51:B1049="hoops earrings for women")*(D51:D1049)*(E51:E1049)) / SUMIFS(E51:E1049, A51:A1049, $L51, B51:B1049, "hoops earrings for women")</f>
        <v>#DIV/0!</v>
      </c>
      <c r="V51" s="7" t="e" cm="1">
        <f t="array" ref="V51">SUMPRODUCT((A51:A1049=$L51)*(B51:B1049="silver hoops earrings for women")*(D51:D1049)*(E51:E1049)) / SUMIFS(E51:E1049, A51:A1049, $L51, B51:B1049, "silver hoops earrings for women")</f>
        <v>#DIV/0!</v>
      </c>
    </row>
    <row r="52" spans="1:22" x14ac:dyDescent="0.2">
      <c r="A52">
        <v>20250120</v>
      </c>
      <c r="B52" t="s">
        <v>10</v>
      </c>
      <c r="C52" t="s">
        <v>13</v>
      </c>
      <c r="D52">
        <v>1</v>
      </c>
      <c r="E52">
        <v>1</v>
      </c>
      <c r="F52">
        <v>0</v>
      </c>
      <c r="G52">
        <v>5</v>
      </c>
      <c r="H52" s="1">
        <f t="shared" si="0"/>
        <v>45677</v>
      </c>
      <c r="I52">
        <f t="shared" si="1"/>
        <v>4</v>
      </c>
      <c r="L52" s="9" t="s">
        <v>93</v>
      </c>
      <c r="M52" t="e" cm="1">
        <f t="array" ref="M52">SUMPRODUCT((A52:A1050=$L52)*(B52:B1050="sterling silver earrings")*(D52:D1050)*(E52:E1050)) / SUMIFS(E52:E1050, A52:A1050, $L52, B52:B1050, "sterling silver earrings")</f>
        <v>#DIV/0!</v>
      </c>
      <c r="N52" s="7" cm="1">
        <f t="array" ref="N52">SUMPRODUCT((A52:A1050=$L52)*(B52:B1050="silver hoop earrings for women")*(D52:D1050)*(E52:E1050)) / SUMIFS(E52:E1050, A52:A1050, $L52, B52:B1050, "silver hoop earrings for women")</f>
        <v>0</v>
      </c>
      <c r="O52" s="7" t="e" cm="1">
        <f t="array" ref="O52">SUMPRODUCT((A52:A1050=$L52)*(B52:B1050="hoop earrings")*(D52:D1050)*(E52:E1050)) / SUMIFS(E52:E1050, A52:A1050, $L52, B52:B1050, "hoop earrings")</f>
        <v>#DIV/0!</v>
      </c>
      <c r="P52" s="7" cm="1">
        <f t="array" ref="P52">SUMPRODUCT((A52:A1050=$L52)*(B52:B1050="silver hoops")*(D52:D1050)*(E52:E1050)) / SUMIFS(E52:E1050, A52:A1050, $L52, B52:B1050, "silver hoops")</f>
        <v>0</v>
      </c>
      <c r="Q52" s="7" cm="1">
        <f t="array" ref="Q52">SUMPRODUCT((A52:A1050=$L52)*(B52:B1050="sterling silver hoop earrings")*(D52:D1050)*(E52:E1050)) / SUMIFS(E52:E1050, A52:A1050, $L52, B52:B1050, "sterling silver hoop earrings")</f>
        <v>0</v>
      </c>
      <c r="R52" s="7" t="e" cm="1">
        <f t="array" ref="R52">SUMPRODUCT((A52:A1050=$L52)*(B52:B1050="silver hoop earrings")*(D52:D1050)*(E52:E1050)) / SUMIFS(E52:E1050, A52:A1050, $L52, B52:B1050, "silver hoop earrings")</f>
        <v>#DIV/0!</v>
      </c>
      <c r="S52" s="7" t="e" cm="1">
        <f t="array" ref="S52">SUMPRODUCT((A52:A1050=$L52)*(B52:B1050="925 sterling silver earrings")*(D52:D1050)*(E52:E1050)) / SUMIFS(E52:E1050, A52:A1050, $L52, B52:B1050, "925 sterling silver earrings")</f>
        <v>#DIV/0!</v>
      </c>
      <c r="T52" s="7" t="e" cm="1">
        <f t="array" ref="T52">SUMPRODUCT((A52:A1050=$L52)*(B52:B1050="hoops")*(D52:D1050)*(E52:E1050)) / SUMIFS(E52:E1050, A52:A1050, $L52, B52:B1050, "hoops")</f>
        <v>#DIV/0!</v>
      </c>
      <c r="U52" s="7" t="e" cm="1">
        <f t="array" ref="U52">SUMPRODUCT((A52:A1050=$L52)*(B52:B1050="hoops earrings for women")*(D52:D1050)*(E52:E1050)) / SUMIFS(E52:E1050, A52:A1050, $L52, B52:B1050, "hoops earrings for women")</f>
        <v>#DIV/0!</v>
      </c>
      <c r="V52" s="7" cm="1">
        <f t="array" ref="V52">SUMPRODUCT((A52:A1050=$L52)*(B52:B1050="silver hoops earrings for women")*(D52:D1050)*(E52:E1050)) / SUMIFS(E52:E1050, A52:A1050, $L52, B52:B1050, "silver hoops earrings for women")</f>
        <v>0</v>
      </c>
    </row>
    <row r="53" spans="1:22" x14ac:dyDescent="0.2">
      <c r="A53">
        <v>20250121</v>
      </c>
      <c r="B53" t="s">
        <v>16</v>
      </c>
      <c r="C53" t="s">
        <v>8</v>
      </c>
      <c r="D53">
        <v>1</v>
      </c>
      <c r="E53">
        <v>24</v>
      </c>
      <c r="F53">
        <v>0</v>
      </c>
      <c r="G53">
        <v>0</v>
      </c>
      <c r="H53" s="1">
        <f t="shared" si="0"/>
        <v>45678</v>
      </c>
      <c r="I53">
        <f t="shared" si="1"/>
        <v>4</v>
      </c>
      <c r="L53" s="9" t="s">
        <v>94</v>
      </c>
      <c r="M53" t="e" cm="1">
        <f t="array" ref="M53">SUMPRODUCT((A53:A1051=$L53)*(B53:B1051="sterling silver earrings")*(D53:D1051)*(E53:E1051)) / SUMIFS(E53:E1051, A53:A1051, $L53, B53:B1051, "sterling silver earrings")</f>
        <v>#DIV/0!</v>
      </c>
      <c r="N53" s="7" cm="1">
        <f t="array" ref="N53">SUMPRODUCT((A53:A1051=$L53)*(B53:B1051="silver hoop earrings for women")*(D53:D1051)*(E53:E1051)) / SUMIFS(E53:E1051, A53:A1051, $L53, B53:B1051, "silver hoop earrings for women")</f>
        <v>0</v>
      </c>
      <c r="O53" s="7" t="e" cm="1">
        <f t="array" ref="O53">SUMPRODUCT((A53:A1051=$L53)*(B53:B1051="hoop earrings")*(D53:D1051)*(E53:E1051)) / SUMIFS(E53:E1051, A53:A1051, $L53, B53:B1051, "hoop earrings")</f>
        <v>#DIV/0!</v>
      </c>
      <c r="P53" s="7" t="e" cm="1">
        <f t="array" ref="P53">SUMPRODUCT((A53:A1051=$L53)*(B53:B1051="silver hoops")*(D53:D1051)*(E53:E1051)) / SUMIFS(E53:E1051, A53:A1051, $L53, B53:B1051, "silver hoops")</f>
        <v>#DIV/0!</v>
      </c>
      <c r="Q53" s="7" t="e" cm="1">
        <f t="array" ref="Q53">SUMPRODUCT((A53:A1051=$L53)*(B53:B1051="sterling silver hoop earrings")*(D53:D1051)*(E53:E1051)) / SUMIFS(E53:E1051, A53:A1051, $L53, B53:B1051, "sterling silver hoop earrings")</f>
        <v>#DIV/0!</v>
      </c>
      <c r="R53" s="7" t="e" cm="1">
        <f t="array" ref="R53">SUMPRODUCT((A53:A1051=$L53)*(B53:B1051="silver hoop earrings")*(D53:D1051)*(E53:E1051)) / SUMIFS(E53:E1051, A53:A1051, $L53, B53:B1051, "silver hoop earrings")</f>
        <v>#DIV/0!</v>
      </c>
      <c r="S53" s="7" t="e" cm="1">
        <f t="array" ref="S53">SUMPRODUCT((A53:A1051=$L53)*(B53:B1051="925 sterling silver earrings")*(D53:D1051)*(E53:E1051)) / SUMIFS(E53:E1051, A53:A1051, $L53, B53:B1051, "925 sterling silver earrings")</f>
        <v>#DIV/0!</v>
      </c>
      <c r="T53" s="7" t="e" cm="1">
        <f t="array" ref="T53">SUMPRODUCT((A53:A1051=$L53)*(B53:B1051="hoops")*(D53:D1051)*(E53:E1051)) / SUMIFS(E53:E1051, A53:A1051, $L53, B53:B1051, "hoops")</f>
        <v>#DIV/0!</v>
      </c>
      <c r="U53" s="7" t="e" cm="1">
        <f t="array" ref="U53">SUMPRODUCT((A53:A1051=$L53)*(B53:B1051="hoops earrings for women")*(D53:D1051)*(E53:E1051)) / SUMIFS(E53:E1051, A53:A1051, $L53, B53:B1051, "hoops earrings for women")</f>
        <v>#DIV/0!</v>
      </c>
      <c r="V53" s="7" t="e" cm="1">
        <f t="array" ref="V53">SUMPRODUCT((A53:A1051=$L53)*(B53:B1051="silver hoops earrings for women")*(D53:D1051)*(E53:E1051)) / SUMIFS(E53:E1051, A53:A1051, $L53, B53:B1051, "silver hoops earrings for women")</f>
        <v>#DIV/0!</v>
      </c>
    </row>
    <row r="54" spans="1:22" x14ac:dyDescent="0.2">
      <c r="A54">
        <v>20250121</v>
      </c>
      <c r="B54" t="s">
        <v>10</v>
      </c>
      <c r="C54" t="s">
        <v>8</v>
      </c>
      <c r="D54">
        <v>1</v>
      </c>
      <c r="E54">
        <v>15</v>
      </c>
      <c r="F54">
        <v>0</v>
      </c>
      <c r="G54">
        <v>0</v>
      </c>
      <c r="H54" s="1">
        <f t="shared" si="0"/>
        <v>45678</v>
      </c>
      <c r="I54">
        <f t="shared" si="1"/>
        <v>4</v>
      </c>
      <c r="L54" s="9" t="s">
        <v>95</v>
      </c>
      <c r="M54" t="e" cm="1">
        <f t="array" ref="M54">SUMPRODUCT((A54:A1052=$L54)*(B54:B1052="sterling silver earrings")*(D54:D1052)*(E54:E1052)) / SUMIFS(E54:E1052, A54:A1052, $L54, B54:B1052, "sterling silver earrings")</f>
        <v>#DIV/0!</v>
      </c>
      <c r="N54" s="7" cm="1">
        <f t="array" ref="N54">SUMPRODUCT((A54:A1052=$L54)*(B54:B1052="silver hoop earrings for women")*(D54:D1052)*(E54:E1052)) / SUMIFS(E54:E1052, A54:A1052, $L54, B54:B1052, "silver hoop earrings for women")</f>
        <v>0</v>
      </c>
      <c r="O54" s="7" t="e" cm="1">
        <f t="array" ref="O54">SUMPRODUCT((A54:A1052=$L54)*(B54:B1052="hoop earrings")*(D54:D1052)*(E54:E1052)) / SUMIFS(E54:E1052, A54:A1052, $L54, B54:B1052, "hoop earrings")</f>
        <v>#DIV/0!</v>
      </c>
      <c r="P54" s="7" t="e" cm="1">
        <f t="array" ref="P54">SUMPRODUCT((A54:A1052=$L54)*(B54:B1052="silver hoops")*(D54:D1052)*(E54:E1052)) / SUMIFS(E54:E1052, A54:A1052, $L54, B54:B1052, "silver hoops")</f>
        <v>#DIV/0!</v>
      </c>
      <c r="Q54" s="7" t="e" cm="1">
        <f t="array" ref="Q54">SUMPRODUCT((A54:A1052=$L54)*(B54:B1052="sterling silver hoop earrings")*(D54:D1052)*(E54:E1052)) / SUMIFS(E54:E1052, A54:A1052, $L54, B54:B1052, "sterling silver hoop earrings")</f>
        <v>#DIV/0!</v>
      </c>
      <c r="R54" s="7" t="e" cm="1">
        <f t="array" ref="R54">SUMPRODUCT((A54:A1052=$L54)*(B54:B1052="silver hoop earrings")*(D54:D1052)*(E54:E1052)) / SUMIFS(E54:E1052, A54:A1052, $L54, B54:B1052, "silver hoop earrings")</f>
        <v>#DIV/0!</v>
      </c>
      <c r="S54" s="7" cm="1">
        <f t="array" ref="S54">SUMPRODUCT((A54:A1052=$L54)*(B54:B1052="925 sterling silver earrings")*(D54:D1052)*(E54:E1052)) / SUMIFS(E54:E1052, A54:A1052, $L54, B54:B1052, "925 sterling silver earrings")</f>
        <v>0</v>
      </c>
      <c r="T54" s="7" t="e" cm="1">
        <f t="array" ref="T54">SUMPRODUCT((A54:A1052=$L54)*(B54:B1052="hoops")*(D54:D1052)*(E54:E1052)) / SUMIFS(E54:E1052, A54:A1052, $L54, B54:B1052, "hoops")</f>
        <v>#DIV/0!</v>
      </c>
      <c r="U54" s="7" t="e" cm="1">
        <f t="array" ref="U54">SUMPRODUCT((A54:A1052=$L54)*(B54:B1052="hoops earrings for women")*(D54:D1052)*(E54:E1052)) / SUMIFS(E54:E1052, A54:A1052, $L54, B54:B1052, "hoops earrings for women")</f>
        <v>#DIV/0!</v>
      </c>
      <c r="V54" s="7" t="e" cm="1">
        <f t="array" ref="V54">SUMPRODUCT((A54:A1052=$L54)*(B54:B1052="silver hoops earrings for women")*(D54:D1052)*(E54:E1052)) / SUMIFS(E54:E1052, A54:A1052, $L54, B54:B1052, "silver hoops earrings for women")</f>
        <v>#DIV/0!</v>
      </c>
    </row>
    <row r="55" spans="1:22" x14ac:dyDescent="0.2">
      <c r="A55">
        <v>20250122</v>
      </c>
      <c r="B55" t="s">
        <v>16</v>
      </c>
      <c r="C55" t="s">
        <v>13</v>
      </c>
      <c r="D55">
        <v>1</v>
      </c>
      <c r="E55">
        <v>37</v>
      </c>
      <c r="F55">
        <v>0</v>
      </c>
      <c r="G55">
        <v>0</v>
      </c>
      <c r="H55" s="1">
        <f t="shared" si="0"/>
        <v>45679</v>
      </c>
      <c r="I55">
        <f t="shared" si="1"/>
        <v>4</v>
      </c>
      <c r="L55" s="9" t="s">
        <v>96</v>
      </c>
      <c r="M55" t="e" cm="1">
        <f t="array" ref="M55">SUMPRODUCT((A55:A1053=$L55)*(B55:B1053="sterling silver earrings")*(D55:D1053)*(E55:E1053)) / SUMIFS(E55:E1053, A55:A1053, $L55, B55:B1053, "sterling silver earrings")</f>
        <v>#DIV/0!</v>
      </c>
      <c r="N55" s="7" cm="1">
        <f t="array" ref="N55">SUMPRODUCT((A55:A1053=$L55)*(B55:B1053="silver hoop earrings for women")*(D55:D1053)*(E55:E1053)) / SUMIFS(E55:E1053, A55:A1053, $L55, B55:B1053, "silver hoop earrings for women")</f>
        <v>0</v>
      </c>
      <c r="O55" s="7" t="e" cm="1">
        <f t="array" ref="O55">SUMPRODUCT((A55:A1053=$L55)*(B55:B1053="hoop earrings")*(D55:D1053)*(E55:E1053)) / SUMIFS(E55:E1053, A55:A1053, $L55, B55:B1053, "hoop earrings")</f>
        <v>#DIV/0!</v>
      </c>
      <c r="P55" s="7" t="e" cm="1">
        <f t="array" ref="P55">SUMPRODUCT((A55:A1053=$L55)*(B55:B1053="silver hoops")*(D55:D1053)*(E55:E1053)) / SUMIFS(E55:E1053, A55:A1053, $L55, B55:B1053, "silver hoops")</f>
        <v>#DIV/0!</v>
      </c>
      <c r="Q55" s="7" cm="1">
        <f t="array" ref="Q55">SUMPRODUCT((A55:A1053=$L55)*(B55:B1053="sterling silver hoop earrings")*(D55:D1053)*(E55:E1053)) / SUMIFS(E55:E1053, A55:A1053, $L55, B55:B1053, "sterling silver hoop earrings")</f>
        <v>0</v>
      </c>
      <c r="R55" s="7" t="e" cm="1">
        <f t="array" ref="R55">SUMPRODUCT((A55:A1053=$L55)*(B55:B1053="silver hoop earrings")*(D55:D1053)*(E55:E1053)) / SUMIFS(E55:E1053, A55:A1053, $L55, B55:B1053, "silver hoop earrings")</f>
        <v>#DIV/0!</v>
      </c>
      <c r="S55" s="7" t="e" cm="1">
        <f t="array" ref="S55">SUMPRODUCT((A55:A1053=$L55)*(B55:B1053="925 sterling silver earrings")*(D55:D1053)*(E55:E1053)) / SUMIFS(E55:E1053, A55:A1053, $L55, B55:B1053, "925 sterling silver earrings")</f>
        <v>#DIV/0!</v>
      </c>
      <c r="T55" s="7" t="e" cm="1">
        <f t="array" ref="T55">SUMPRODUCT((A55:A1053=$L55)*(B55:B1053="hoops")*(D55:D1053)*(E55:E1053)) / SUMIFS(E55:E1053, A55:A1053, $L55, B55:B1053, "hoops")</f>
        <v>#DIV/0!</v>
      </c>
      <c r="U55" s="7" t="e" cm="1">
        <f t="array" ref="U55">SUMPRODUCT((A55:A1053=$L55)*(B55:B1053="hoops earrings for women")*(D55:D1053)*(E55:E1053)) / SUMIFS(E55:E1053, A55:A1053, $L55, B55:B1053, "hoops earrings for women")</f>
        <v>#DIV/0!</v>
      </c>
      <c r="V55" s="7" t="e" cm="1">
        <f t="array" ref="V55">SUMPRODUCT((A55:A1053=$L55)*(B55:B1053="silver hoops earrings for women")*(D55:D1053)*(E55:E1053)) / SUMIFS(E55:E1053, A55:A1053, $L55, B55:B1053, "silver hoops earrings for women")</f>
        <v>#DIV/0!</v>
      </c>
    </row>
    <row r="56" spans="1:22" x14ac:dyDescent="0.2">
      <c r="A56">
        <v>20250122</v>
      </c>
      <c r="B56" t="s">
        <v>7</v>
      </c>
      <c r="C56" t="s">
        <v>8</v>
      </c>
      <c r="D56">
        <v>1</v>
      </c>
      <c r="E56">
        <v>71</v>
      </c>
      <c r="F56">
        <v>0</v>
      </c>
      <c r="G56">
        <v>1</v>
      </c>
      <c r="H56" s="1">
        <f t="shared" si="0"/>
        <v>45679</v>
      </c>
      <c r="I56">
        <f t="shared" si="1"/>
        <v>4</v>
      </c>
      <c r="L56" s="9" t="s">
        <v>97</v>
      </c>
      <c r="M56" t="e" cm="1">
        <f t="array" ref="M56">SUMPRODUCT((A56:A1054=$L56)*(B56:B1054="sterling silver earrings")*(D56:D1054)*(E56:E1054)) / SUMIFS(E56:E1054, A56:A1054, $L56, B56:B1054, "sterling silver earrings")</f>
        <v>#DIV/0!</v>
      </c>
      <c r="N56" s="7" cm="1">
        <f t="array" ref="N56">SUMPRODUCT((A56:A1054=$L56)*(B56:B1054="silver hoop earrings for women")*(D56:D1054)*(E56:E1054)) / SUMIFS(E56:E1054, A56:A1054, $L56, B56:B1054, "silver hoop earrings for women")</f>
        <v>0</v>
      </c>
      <c r="O56" s="7" t="e" cm="1">
        <f t="array" ref="O56">SUMPRODUCT((A56:A1054=$L56)*(B56:B1054="hoop earrings")*(D56:D1054)*(E56:E1054)) / SUMIFS(E56:E1054, A56:A1054, $L56, B56:B1054, "hoop earrings")</f>
        <v>#DIV/0!</v>
      </c>
      <c r="P56" s="7" t="e" cm="1">
        <f t="array" ref="P56">SUMPRODUCT((A56:A1054=$L56)*(B56:B1054="silver hoops")*(D56:D1054)*(E56:E1054)) / SUMIFS(E56:E1054, A56:A1054, $L56, B56:B1054, "silver hoops")</f>
        <v>#DIV/0!</v>
      </c>
      <c r="Q56" s="7" t="e" cm="1">
        <f t="array" ref="Q56">SUMPRODUCT((A56:A1054=$L56)*(B56:B1054="sterling silver hoop earrings")*(D56:D1054)*(E56:E1054)) / SUMIFS(E56:E1054, A56:A1054, $L56, B56:B1054, "sterling silver hoop earrings")</f>
        <v>#DIV/0!</v>
      </c>
      <c r="R56" s="7" t="e" cm="1">
        <f t="array" ref="R56">SUMPRODUCT((A56:A1054=$L56)*(B56:B1054="silver hoop earrings")*(D56:D1054)*(E56:E1054)) / SUMIFS(E56:E1054, A56:A1054, $L56, B56:B1054, "silver hoop earrings")</f>
        <v>#DIV/0!</v>
      </c>
      <c r="S56" s="7" t="e" cm="1">
        <f t="array" ref="S56">SUMPRODUCT((A56:A1054=$L56)*(B56:B1054="925 sterling silver earrings")*(D56:D1054)*(E56:E1054)) / SUMIFS(E56:E1054, A56:A1054, $L56, B56:B1054, "925 sterling silver earrings")</f>
        <v>#DIV/0!</v>
      </c>
      <c r="T56" s="7" t="e" cm="1">
        <f t="array" ref="T56">SUMPRODUCT((A56:A1054=$L56)*(B56:B1054="hoops")*(D56:D1054)*(E56:E1054)) / SUMIFS(E56:E1054, A56:A1054, $L56, B56:B1054, "hoops")</f>
        <v>#DIV/0!</v>
      </c>
      <c r="U56" s="7" t="e" cm="1">
        <f t="array" ref="U56">SUMPRODUCT((A56:A1054=$L56)*(B56:B1054="hoops earrings for women")*(D56:D1054)*(E56:E1054)) / SUMIFS(E56:E1054, A56:A1054, $L56, B56:B1054, "hoops earrings for women")</f>
        <v>#DIV/0!</v>
      </c>
      <c r="V56" s="7" t="e" cm="1">
        <f t="array" ref="V56">SUMPRODUCT((A56:A1054=$L56)*(B56:B1054="silver hoops earrings for women")*(D56:D1054)*(E56:E1054)) / SUMIFS(E56:E1054, A56:A1054, $L56, B56:B1054, "silver hoops earrings for women")</f>
        <v>#DIV/0!</v>
      </c>
    </row>
    <row r="57" spans="1:22" x14ac:dyDescent="0.2">
      <c r="A57">
        <v>20250123</v>
      </c>
      <c r="B57" t="s">
        <v>7</v>
      </c>
      <c r="C57" t="s">
        <v>17</v>
      </c>
      <c r="D57">
        <v>3</v>
      </c>
      <c r="E57">
        <v>1</v>
      </c>
      <c r="F57">
        <v>0</v>
      </c>
      <c r="G57">
        <v>0</v>
      </c>
      <c r="H57" s="1">
        <f t="shared" si="0"/>
        <v>45680</v>
      </c>
      <c r="I57">
        <f t="shared" si="1"/>
        <v>4</v>
      </c>
      <c r="L57" s="9" t="s">
        <v>98</v>
      </c>
      <c r="M57" t="e" cm="1">
        <f t="array" ref="M57">SUMPRODUCT((A57:A1055=$L57)*(B57:B1055="sterling silver earrings")*(D57:D1055)*(E57:E1055)) / SUMIFS(E57:E1055, A57:A1055, $L57, B57:B1055, "sterling silver earrings")</f>
        <v>#DIV/0!</v>
      </c>
      <c r="N57" s="7" cm="1">
        <f t="array" ref="N57">SUMPRODUCT((A57:A1055=$L57)*(B57:B1055="silver hoop earrings for women")*(D57:D1055)*(E57:E1055)) / SUMIFS(E57:E1055, A57:A1055, $L57, B57:B1055, "silver hoop earrings for women")</f>
        <v>0</v>
      </c>
      <c r="O57" s="7" t="e" cm="1">
        <f t="array" ref="O57">SUMPRODUCT((A57:A1055=$L57)*(B57:B1055="hoop earrings")*(D57:D1055)*(E57:E1055)) / SUMIFS(E57:E1055, A57:A1055, $L57, B57:B1055, "hoop earrings")</f>
        <v>#DIV/0!</v>
      </c>
      <c r="P57" s="7" t="e" cm="1">
        <f t="array" ref="P57">SUMPRODUCT((A57:A1055=$L57)*(B57:B1055="silver hoops")*(D57:D1055)*(E57:E1055)) / SUMIFS(E57:E1055, A57:A1055, $L57, B57:B1055, "silver hoops")</f>
        <v>#DIV/0!</v>
      </c>
      <c r="Q57" s="7" cm="1">
        <f t="array" ref="Q57">SUMPRODUCT((A57:A1055=$L57)*(B57:B1055="sterling silver hoop earrings")*(D57:D1055)*(E57:E1055)) / SUMIFS(E57:E1055, A57:A1055, $L57, B57:B1055, "sterling silver hoop earrings")</f>
        <v>0</v>
      </c>
      <c r="R57" s="7" t="e" cm="1">
        <f t="array" ref="R57">SUMPRODUCT((A57:A1055=$L57)*(B57:B1055="silver hoop earrings")*(D57:D1055)*(E57:E1055)) / SUMIFS(E57:E1055, A57:A1055, $L57, B57:B1055, "silver hoop earrings")</f>
        <v>#DIV/0!</v>
      </c>
      <c r="S57" s="7" t="e" cm="1">
        <f t="array" ref="S57">SUMPRODUCT((A57:A1055=$L57)*(B57:B1055="925 sterling silver earrings")*(D57:D1055)*(E57:E1055)) / SUMIFS(E57:E1055, A57:A1055, $L57, B57:B1055, "925 sterling silver earrings")</f>
        <v>#DIV/0!</v>
      </c>
      <c r="T57" s="7" t="e" cm="1">
        <f t="array" ref="T57">SUMPRODUCT((A57:A1055=$L57)*(B57:B1055="hoops")*(D57:D1055)*(E57:E1055)) / SUMIFS(E57:E1055, A57:A1055, $L57, B57:B1055, "hoops")</f>
        <v>#DIV/0!</v>
      </c>
      <c r="U57" s="7" t="e" cm="1">
        <f t="array" ref="U57">SUMPRODUCT((A57:A1055=$L57)*(B57:B1055="hoops earrings for women")*(D57:D1055)*(E57:E1055)) / SUMIFS(E57:E1055, A57:A1055, $L57, B57:B1055, "hoops earrings for women")</f>
        <v>#DIV/0!</v>
      </c>
      <c r="V57" s="7" t="e" cm="1">
        <f t="array" ref="V57">SUMPRODUCT((A57:A1055=$L57)*(B57:B1055="silver hoops earrings for women")*(D57:D1055)*(E57:E1055)) / SUMIFS(E57:E1055, A57:A1055, $L57, B57:B1055, "silver hoops earrings for women")</f>
        <v>#DIV/0!</v>
      </c>
    </row>
    <row r="58" spans="1:22" x14ac:dyDescent="0.2">
      <c r="A58">
        <v>20250123</v>
      </c>
      <c r="B58" t="s">
        <v>9</v>
      </c>
      <c r="C58" t="s">
        <v>15</v>
      </c>
      <c r="D58">
        <v>2</v>
      </c>
      <c r="E58">
        <v>1</v>
      </c>
      <c r="F58">
        <v>0</v>
      </c>
      <c r="G58">
        <v>0</v>
      </c>
      <c r="H58" s="1">
        <f t="shared" si="0"/>
        <v>45680</v>
      </c>
      <c r="I58">
        <f t="shared" si="1"/>
        <v>4</v>
      </c>
      <c r="L58" s="9" t="s">
        <v>99</v>
      </c>
      <c r="M58" cm="1">
        <f t="array" ref="M58">SUMPRODUCT((A58:A1056=$L58)*(B58:B1056="sterling silver earrings")*(D58:D1056)*(E58:E1056)) / SUMIFS(E58:E1056, A58:A1056, $L58, B58:B1056, "sterling silver earrings")</f>
        <v>0</v>
      </c>
      <c r="N58" s="7" cm="1">
        <f t="array" ref="N58">SUMPRODUCT((A58:A1056=$L58)*(B58:B1056="silver hoop earrings for women")*(D58:D1056)*(E58:E1056)) / SUMIFS(E58:E1056, A58:A1056, $L58, B58:B1056, "silver hoop earrings for women")</f>
        <v>0</v>
      </c>
      <c r="O58" s="7" t="e" cm="1">
        <f t="array" ref="O58">SUMPRODUCT((A58:A1056=$L58)*(B58:B1056="hoop earrings")*(D58:D1056)*(E58:E1056)) / SUMIFS(E58:E1056, A58:A1056, $L58, B58:B1056, "hoop earrings")</f>
        <v>#DIV/0!</v>
      </c>
      <c r="P58" s="7" t="e" cm="1">
        <f t="array" ref="P58">SUMPRODUCT((A58:A1056=$L58)*(B58:B1056="silver hoops")*(D58:D1056)*(E58:E1056)) / SUMIFS(E58:E1056, A58:A1056, $L58, B58:B1056, "silver hoops")</f>
        <v>#DIV/0!</v>
      </c>
      <c r="Q58" s="7" cm="1">
        <f t="array" ref="Q58">SUMPRODUCT((A58:A1056=$L58)*(B58:B1056="sterling silver hoop earrings")*(D58:D1056)*(E58:E1056)) / SUMIFS(E58:E1056, A58:A1056, $L58, B58:B1056, "sterling silver hoop earrings")</f>
        <v>0</v>
      </c>
      <c r="R58" s="7" t="e" cm="1">
        <f t="array" ref="R58">SUMPRODUCT((A58:A1056=$L58)*(B58:B1056="silver hoop earrings")*(D58:D1056)*(E58:E1056)) / SUMIFS(E58:E1056, A58:A1056, $L58, B58:B1056, "silver hoop earrings")</f>
        <v>#DIV/0!</v>
      </c>
      <c r="S58" s="7" t="e" cm="1">
        <f t="array" ref="S58">SUMPRODUCT((A58:A1056=$L58)*(B58:B1056="925 sterling silver earrings")*(D58:D1056)*(E58:E1056)) / SUMIFS(E58:E1056, A58:A1056, $L58, B58:B1056, "925 sterling silver earrings")</f>
        <v>#DIV/0!</v>
      </c>
      <c r="T58" s="7" t="e" cm="1">
        <f t="array" ref="T58">SUMPRODUCT((A58:A1056=$L58)*(B58:B1056="hoops")*(D58:D1056)*(E58:E1056)) / SUMIFS(E58:E1056, A58:A1056, $L58, B58:B1056, "hoops")</f>
        <v>#DIV/0!</v>
      </c>
      <c r="U58" s="7" t="e" cm="1">
        <f t="array" ref="U58">SUMPRODUCT((A58:A1056=$L58)*(B58:B1056="hoops earrings for women")*(D58:D1056)*(E58:E1056)) / SUMIFS(E58:E1056, A58:A1056, $L58, B58:B1056, "hoops earrings for women")</f>
        <v>#DIV/0!</v>
      </c>
      <c r="V58" s="7" t="e" cm="1">
        <f t="array" ref="V58">SUMPRODUCT((A58:A1056=$L58)*(B58:B1056="silver hoops earrings for women")*(D58:D1056)*(E58:E1056)) / SUMIFS(E58:E1056, A58:A1056, $L58, B58:B1056, "silver hoops earrings for women")</f>
        <v>#DIV/0!</v>
      </c>
    </row>
    <row r="59" spans="1:22" x14ac:dyDescent="0.2">
      <c r="A59">
        <v>20250124</v>
      </c>
      <c r="B59" t="s">
        <v>30</v>
      </c>
      <c r="C59" t="s">
        <v>28</v>
      </c>
      <c r="D59">
        <v>1</v>
      </c>
      <c r="E59">
        <v>43</v>
      </c>
      <c r="F59">
        <v>0</v>
      </c>
      <c r="G59">
        <v>0</v>
      </c>
      <c r="H59" s="1">
        <f t="shared" si="0"/>
        <v>45681</v>
      </c>
      <c r="I59">
        <f t="shared" si="1"/>
        <v>4</v>
      </c>
      <c r="L59" s="9" t="s">
        <v>100</v>
      </c>
      <c r="M59" t="e" cm="1">
        <f t="array" ref="M59">SUMPRODUCT((A59:A1057=$L59)*(B59:B1057="sterling silver earrings")*(D59:D1057)*(E59:E1057)) / SUMIFS(E59:E1057, A59:A1057, $L59, B59:B1057, "sterling silver earrings")</f>
        <v>#DIV/0!</v>
      </c>
      <c r="N59" s="7" cm="1">
        <f t="array" ref="N59">SUMPRODUCT((A59:A1057=$L59)*(B59:B1057="silver hoop earrings for women")*(D59:D1057)*(E59:E1057)) / SUMIFS(E59:E1057, A59:A1057, $L59, B59:B1057, "silver hoop earrings for women")</f>
        <v>0</v>
      </c>
      <c r="O59" s="7" t="e" cm="1">
        <f t="array" ref="O59">SUMPRODUCT((A59:A1057=$L59)*(B59:B1057="hoop earrings")*(D59:D1057)*(E59:E1057)) / SUMIFS(E59:E1057, A59:A1057, $L59, B59:B1057, "hoop earrings")</f>
        <v>#DIV/0!</v>
      </c>
      <c r="P59" s="7" t="e" cm="1">
        <f t="array" ref="P59">SUMPRODUCT((A59:A1057=$L59)*(B59:B1057="silver hoops")*(D59:D1057)*(E59:E1057)) / SUMIFS(E59:E1057, A59:A1057, $L59, B59:B1057, "silver hoops")</f>
        <v>#DIV/0!</v>
      </c>
      <c r="Q59" s="7" cm="1">
        <f t="array" ref="Q59">SUMPRODUCT((A59:A1057=$L59)*(B59:B1057="sterling silver hoop earrings")*(D59:D1057)*(E59:E1057)) / SUMIFS(E59:E1057, A59:A1057, $L59, B59:B1057, "sterling silver hoop earrings")</f>
        <v>0</v>
      </c>
      <c r="R59" s="7" t="e" cm="1">
        <f t="array" ref="R59">SUMPRODUCT((A59:A1057=$L59)*(B59:B1057="silver hoop earrings")*(D59:D1057)*(E59:E1057)) / SUMIFS(E59:E1057, A59:A1057, $L59, B59:B1057, "silver hoop earrings")</f>
        <v>#DIV/0!</v>
      </c>
      <c r="S59" s="7" t="e" cm="1">
        <f t="array" ref="S59">SUMPRODUCT((A59:A1057=$L59)*(B59:B1057="925 sterling silver earrings")*(D59:D1057)*(E59:E1057)) / SUMIFS(E59:E1057, A59:A1057, $L59, B59:B1057, "925 sterling silver earrings")</f>
        <v>#DIV/0!</v>
      </c>
      <c r="T59" s="7" t="e" cm="1">
        <f t="array" ref="T59">SUMPRODUCT((A59:A1057=$L59)*(B59:B1057="hoops")*(D59:D1057)*(E59:E1057)) / SUMIFS(E59:E1057, A59:A1057, $L59, B59:B1057, "hoops")</f>
        <v>#DIV/0!</v>
      </c>
      <c r="U59" s="7" t="e" cm="1">
        <f t="array" ref="U59">SUMPRODUCT((A59:A1057=$L59)*(B59:B1057="hoops earrings for women")*(D59:D1057)*(E59:E1057)) / SUMIFS(E59:E1057, A59:A1057, $L59, B59:B1057, "hoops earrings for women")</f>
        <v>#DIV/0!</v>
      </c>
      <c r="V59" s="7" t="e" cm="1">
        <f t="array" ref="V59">SUMPRODUCT((A59:A1057=$L59)*(B59:B1057="silver hoops earrings for women")*(D59:D1057)*(E59:E1057)) / SUMIFS(E59:E1057, A59:A1057, $L59, B59:B1057, "silver hoops earrings for women")</f>
        <v>#DIV/0!</v>
      </c>
    </row>
    <row r="60" spans="1:22" x14ac:dyDescent="0.2">
      <c r="A60">
        <v>20250125</v>
      </c>
      <c r="B60" t="s">
        <v>10</v>
      </c>
      <c r="C60" t="s">
        <v>8</v>
      </c>
      <c r="D60">
        <v>1</v>
      </c>
      <c r="E60">
        <v>32</v>
      </c>
      <c r="F60">
        <v>0</v>
      </c>
      <c r="G60">
        <v>0</v>
      </c>
      <c r="H60" s="1">
        <f t="shared" si="0"/>
        <v>45682</v>
      </c>
      <c r="I60">
        <f t="shared" si="1"/>
        <v>4</v>
      </c>
      <c r="L60" s="9" t="s">
        <v>101</v>
      </c>
      <c r="M60" t="e" cm="1">
        <f t="array" ref="M60">SUMPRODUCT((A60:A1058=$L60)*(B60:B1058="sterling silver earrings")*(D60:D1058)*(E60:E1058)) / SUMIFS(E60:E1058, A60:A1058, $L60, B60:B1058, "sterling silver earrings")</f>
        <v>#DIV/0!</v>
      </c>
      <c r="N60" s="7" t="e" cm="1">
        <f t="array" ref="N60">SUMPRODUCT((A60:A1058=$L60)*(B60:B1058="silver hoop earrings for women")*(D60:D1058)*(E60:E1058)) / SUMIFS(E60:E1058, A60:A1058, $L60, B60:B1058, "silver hoop earrings for women")</f>
        <v>#DIV/0!</v>
      </c>
      <c r="O60" s="7" t="e" cm="1">
        <f t="array" ref="O60">SUMPRODUCT((A60:A1058=$L60)*(B60:B1058="hoop earrings")*(D60:D1058)*(E60:E1058)) / SUMIFS(E60:E1058, A60:A1058, $L60, B60:B1058, "hoop earrings")</f>
        <v>#DIV/0!</v>
      </c>
      <c r="P60" s="7" cm="1">
        <f t="array" ref="P60">SUMPRODUCT((A60:A1058=$L60)*(B60:B1058="silver hoops")*(D60:D1058)*(E60:E1058)) / SUMIFS(E60:E1058, A60:A1058, $L60, B60:B1058, "silver hoops")</f>
        <v>0</v>
      </c>
      <c r="Q60" s="7" cm="1">
        <f t="array" ref="Q60">SUMPRODUCT((A60:A1058=$L60)*(B60:B1058="sterling silver hoop earrings")*(D60:D1058)*(E60:E1058)) / SUMIFS(E60:E1058, A60:A1058, $L60, B60:B1058, "sterling silver hoop earrings")</f>
        <v>0</v>
      </c>
      <c r="R60" s="7" t="e" cm="1">
        <f t="array" ref="R60">SUMPRODUCT((A60:A1058=$L60)*(B60:B1058="silver hoop earrings")*(D60:D1058)*(E60:E1058)) / SUMIFS(E60:E1058, A60:A1058, $L60, B60:B1058, "silver hoop earrings")</f>
        <v>#DIV/0!</v>
      </c>
      <c r="S60" s="7" cm="1">
        <f t="array" ref="S60">SUMPRODUCT((A60:A1058=$L60)*(B60:B1058="925 sterling silver earrings")*(D60:D1058)*(E60:E1058)) / SUMIFS(E60:E1058, A60:A1058, $L60, B60:B1058, "925 sterling silver earrings")</f>
        <v>0</v>
      </c>
      <c r="T60" s="7" t="e" cm="1">
        <f t="array" ref="T60">SUMPRODUCT((A60:A1058=$L60)*(B60:B1058="hoops")*(D60:D1058)*(E60:E1058)) / SUMIFS(E60:E1058, A60:A1058, $L60, B60:B1058, "hoops")</f>
        <v>#DIV/0!</v>
      </c>
      <c r="U60" s="7" t="e" cm="1">
        <f t="array" ref="U60">SUMPRODUCT((A60:A1058=$L60)*(B60:B1058="hoops earrings for women")*(D60:D1058)*(E60:E1058)) / SUMIFS(E60:E1058, A60:A1058, $L60, B60:B1058, "hoops earrings for women")</f>
        <v>#DIV/0!</v>
      </c>
      <c r="V60" s="7" t="e" cm="1">
        <f t="array" ref="V60">SUMPRODUCT((A60:A1058=$L60)*(B60:B1058="silver hoops earrings for women")*(D60:D1058)*(E60:E1058)) / SUMIFS(E60:E1058, A60:A1058, $L60, B60:B1058, "silver hoops earrings for women")</f>
        <v>#DIV/0!</v>
      </c>
    </row>
    <row r="61" spans="1:22" x14ac:dyDescent="0.2">
      <c r="A61">
        <v>20250126</v>
      </c>
      <c r="B61" t="s">
        <v>7</v>
      </c>
      <c r="C61" t="s">
        <v>13</v>
      </c>
      <c r="D61">
        <v>8</v>
      </c>
      <c r="E61">
        <v>1</v>
      </c>
      <c r="F61">
        <v>0</v>
      </c>
      <c r="G61">
        <v>3</v>
      </c>
      <c r="H61" s="1">
        <f t="shared" si="0"/>
        <v>45683</v>
      </c>
      <c r="I61">
        <f t="shared" si="1"/>
        <v>5</v>
      </c>
      <c r="L61" s="9" t="s">
        <v>102</v>
      </c>
      <c r="M61" cm="1">
        <f t="array" ref="M61">SUMPRODUCT((A61:A1059=$L61)*(B61:B1059="sterling silver earrings")*(D61:D1059)*(E61:E1059)) / SUMIFS(E61:E1059, A61:A1059, $L61, B61:B1059, "sterling silver earrings")</f>
        <v>0</v>
      </c>
      <c r="N61" s="7" cm="1">
        <f t="array" ref="N61">SUMPRODUCT((A61:A1059=$L61)*(B61:B1059="silver hoop earrings for women")*(D61:D1059)*(E61:E1059)) / SUMIFS(E61:E1059, A61:A1059, $L61, B61:B1059, "silver hoop earrings for women")</f>
        <v>0</v>
      </c>
      <c r="O61" s="7" t="e" cm="1">
        <f t="array" ref="O61">SUMPRODUCT((A61:A1059=$L61)*(B61:B1059="hoop earrings")*(D61:D1059)*(E61:E1059)) / SUMIFS(E61:E1059, A61:A1059, $L61, B61:B1059, "hoop earrings")</f>
        <v>#DIV/0!</v>
      </c>
      <c r="P61" s="7" cm="1">
        <f t="array" ref="P61">SUMPRODUCT((A61:A1059=$L61)*(B61:B1059="silver hoops")*(D61:D1059)*(E61:E1059)) / SUMIFS(E61:E1059, A61:A1059, $L61, B61:B1059, "silver hoops")</f>
        <v>0</v>
      </c>
      <c r="Q61" s="7" cm="1">
        <f t="array" ref="Q61">SUMPRODUCT((A61:A1059=$L61)*(B61:B1059="sterling silver hoop earrings")*(D61:D1059)*(E61:E1059)) / SUMIFS(E61:E1059, A61:A1059, $L61, B61:B1059, "sterling silver hoop earrings")</f>
        <v>0</v>
      </c>
      <c r="R61" s="7" t="e" cm="1">
        <f t="array" ref="R61">SUMPRODUCT((A61:A1059=$L61)*(B61:B1059="silver hoop earrings")*(D61:D1059)*(E61:E1059)) / SUMIFS(E61:E1059, A61:A1059, $L61, B61:B1059, "silver hoop earrings")</f>
        <v>#DIV/0!</v>
      </c>
      <c r="S61" s="7" t="e" cm="1">
        <f t="array" ref="S61">SUMPRODUCT((A61:A1059=$L61)*(B61:B1059="925 sterling silver earrings")*(D61:D1059)*(E61:E1059)) / SUMIFS(E61:E1059, A61:A1059, $L61, B61:B1059, "925 sterling silver earrings")</f>
        <v>#DIV/0!</v>
      </c>
      <c r="T61" s="7" t="e" cm="1">
        <f t="array" ref="T61">SUMPRODUCT((A61:A1059=$L61)*(B61:B1059="hoops")*(D61:D1059)*(E61:E1059)) / SUMIFS(E61:E1059, A61:A1059, $L61, B61:B1059, "hoops")</f>
        <v>#DIV/0!</v>
      </c>
      <c r="U61" s="7" t="e" cm="1">
        <f t="array" ref="U61">SUMPRODUCT((A61:A1059=$L61)*(B61:B1059="hoops earrings for women")*(D61:D1059)*(E61:E1059)) / SUMIFS(E61:E1059, A61:A1059, $L61, B61:B1059, "hoops earrings for women")</f>
        <v>#DIV/0!</v>
      </c>
      <c r="V61" s="7" cm="1">
        <f t="array" ref="V61">SUMPRODUCT((A61:A1059=$L61)*(B61:B1059="silver hoops earrings for women")*(D61:D1059)*(E61:E1059)) / SUMIFS(E61:E1059, A61:A1059, $L61, B61:B1059, "silver hoops earrings for women")</f>
        <v>0</v>
      </c>
    </row>
    <row r="62" spans="1:22" x14ac:dyDescent="0.2">
      <c r="A62">
        <v>20250126</v>
      </c>
      <c r="B62" t="s">
        <v>7</v>
      </c>
      <c r="C62" t="s">
        <v>8</v>
      </c>
      <c r="D62">
        <v>2</v>
      </c>
      <c r="E62">
        <v>16.5</v>
      </c>
      <c r="F62">
        <v>0</v>
      </c>
      <c r="G62">
        <v>0</v>
      </c>
      <c r="H62" s="1">
        <f t="shared" si="0"/>
        <v>45683</v>
      </c>
      <c r="I62">
        <f t="shared" si="1"/>
        <v>5</v>
      </c>
      <c r="L62" s="9" t="s">
        <v>103</v>
      </c>
      <c r="M62" t="e" cm="1">
        <f t="array" ref="M62">SUMPRODUCT((A62:A1060=$L62)*(B62:B1060="sterling silver earrings")*(D62:D1060)*(E62:E1060)) / SUMIFS(E62:E1060, A62:A1060, $L62, B62:B1060, "sterling silver earrings")</f>
        <v>#DIV/0!</v>
      </c>
      <c r="N62" s="7" cm="1">
        <f t="array" ref="N62">SUMPRODUCT((A62:A1060=$L62)*(B62:B1060="silver hoop earrings for women")*(D62:D1060)*(E62:E1060)) / SUMIFS(E62:E1060, A62:A1060, $L62, B62:B1060, "silver hoop earrings for women")</f>
        <v>0</v>
      </c>
      <c r="O62" s="7" t="e" cm="1">
        <f t="array" ref="O62">SUMPRODUCT((A62:A1060=$L62)*(B62:B1060="hoop earrings")*(D62:D1060)*(E62:E1060)) / SUMIFS(E62:E1060, A62:A1060, $L62, B62:B1060, "hoop earrings")</f>
        <v>#DIV/0!</v>
      </c>
      <c r="P62" s="7" t="e" cm="1">
        <f t="array" ref="P62">SUMPRODUCT((A62:A1060=$L62)*(B62:B1060="silver hoops")*(D62:D1060)*(E62:E1060)) / SUMIFS(E62:E1060, A62:A1060, $L62, B62:B1060, "silver hoops")</f>
        <v>#DIV/0!</v>
      </c>
      <c r="Q62" s="7" cm="1">
        <f t="array" ref="Q62">SUMPRODUCT((A62:A1060=$L62)*(B62:B1060="sterling silver hoop earrings")*(D62:D1060)*(E62:E1060)) / SUMIFS(E62:E1060, A62:A1060, $L62, B62:B1060, "sterling silver hoop earrings")</f>
        <v>0</v>
      </c>
      <c r="R62" s="7" cm="1">
        <f t="array" ref="R62">SUMPRODUCT((A62:A1060=$L62)*(B62:B1060="silver hoop earrings")*(D62:D1060)*(E62:E1060)) / SUMIFS(E62:E1060, A62:A1060, $L62, B62:B1060, "silver hoop earrings")</f>
        <v>0</v>
      </c>
      <c r="S62" s="7" cm="1">
        <f t="array" ref="S62">SUMPRODUCT((A62:A1060=$L62)*(B62:B1060="925 sterling silver earrings")*(D62:D1060)*(E62:E1060)) / SUMIFS(E62:E1060, A62:A1060, $L62, B62:B1060, "925 sterling silver earrings")</f>
        <v>0</v>
      </c>
      <c r="T62" s="7" t="e" cm="1">
        <f t="array" ref="T62">SUMPRODUCT((A62:A1060=$L62)*(B62:B1060="hoops")*(D62:D1060)*(E62:E1060)) / SUMIFS(E62:E1060, A62:A1060, $L62, B62:B1060, "hoops")</f>
        <v>#DIV/0!</v>
      </c>
      <c r="U62" s="7" t="e" cm="1">
        <f t="array" ref="U62">SUMPRODUCT((A62:A1060=$L62)*(B62:B1060="hoops earrings for women")*(D62:D1060)*(E62:E1060)) / SUMIFS(E62:E1060, A62:A1060, $L62, B62:B1060, "hoops earrings for women")</f>
        <v>#DIV/0!</v>
      </c>
      <c r="V62" s="7" t="e" cm="1">
        <f t="array" ref="V62">SUMPRODUCT((A62:A1060=$L62)*(B62:B1060="silver hoops earrings for women")*(D62:D1060)*(E62:E1060)) / SUMIFS(E62:E1060, A62:A1060, $L62, B62:B1060, "silver hoops earrings for women")</f>
        <v>#DIV/0!</v>
      </c>
    </row>
    <row r="63" spans="1:22" x14ac:dyDescent="0.2">
      <c r="A63">
        <v>20250126</v>
      </c>
      <c r="B63" t="s">
        <v>9</v>
      </c>
      <c r="C63" t="s">
        <v>8</v>
      </c>
      <c r="D63">
        <v>2</v>
      </c>
      <c r="E63">
        <v>1</v>
      </c>
      <c r="F63">
        <v>0</v>
      </c>
      <c r="G63">
        <v>0</v>
      </c>
      <c r="H63" s="1">
        <f t="shared" si="0"/>
        <v>45683</v>
      </c>
      <c r="I63">
        <f t="shared" si="1"/>
        <v>5</v>
      </c>
      <c r="L63" s="9" t="s">
        <v>104</v>
      </c>
      <c r="M63" t="e" cm="1">
        <f t="array" ref="M63">SUMPRODUCT((A63:A1061=$L63)*(B63:B1061="sterling silver earrings")*(D63:D1061)*(E63:E1061)) / SUMIFS(E63:E1061, A63:A1061, $L63, B63:B1061, "sterling silver earrings")</f>
        <v>#DIV/0!</v>
      </c>
      <c r="N63" s="7" cm="1">
        <f t="array" ref="N63">SUMPRODUCT((A63:A1061=$L63)*(B63:B1061="silver hoop earrings for women")*(D63:D1061)*(E63:E1061)) / SUMIFS(E63:E1061, A63:A1061, $L63, B63:B1061, "silver hoop earrings for women")</f>
        <v>0</v>
      </c>
      <c r="O63" s="7" t="e" cm="1">
        <f t="array" ref="O63">SUMPRODUCT((A63:A1061=$L63)*(B63:B1061="hoop earrings")*(D63:D1061)*(E63:E1061)) / SUMIFS(E63:E1061, A63:A1061, $L63, B63:B1061, "hoop earrings")</f>
        <v>#DIV/0!</v>
      </c>
      <c r="P63" s="7" cm="1">
        <f t="array" ref="P63">SUMPRODUCT((A63:A1061=$L63)*(B63:B1061="silver hoops")*(D63:D1061)*(E63:E1061)) / SUMIFS(E63:E1061, A63:A1061, $L63, B63:B1061, "silver hoops")</f>
        <v>0</v>
      </c>
      <c r="Q63" s="7" t="e" cm="1">
        <f t="array" ref="Q63">SUMPRODUCT((A63:A1061=$L63)*(B63:B1061="sterling silver hoop earrings")*(D63:D1061)*(E63:E1061)) / SUMIFS(E63:E1061, A63:A1061, $L63, B63:B1061, "sterling silver hoop earrings")</f>
        <v>#DIV/0!</v>
      </c>
      <c r="R63" s="7" t="e" cm="1">
        <f t="array" ref="R63">SUMPRODUCT((A63:A1061=$L63)*(B63:B1061="silver hoop earrings")*(D63:D1061)*(E63:E1061)) / SUMIFS(E63:E1061, A63:A1061, $L63, B63:B1061, "silver hoop earrings")</f>
        <v>#DIV/0!</v>
      </c>
      <c r="S63" s="7" t="e" cm="1">
        <f t="array" ref="S63">SUMPRODUCT((A63:A1061=$L63)*(B63:B1061="925 sterling silver earrings")*(D63:D1061)*(E63:E1061)) / SUMIFS(E63:E1061, A63:A1061, $L63, B63:B1061, "925 sterling silver earrings")</f>
        <v>#DIV/0!</v>
      </c>
      <c r="T63" s="7" t="e" cm="1">
        <f t="array" ref="T63">SUMPRODUCT((A63:A1061=$L63)*(B63:B1061="hoops")*(D63:D1061)*(E63:E1061)) / SUMIFS(E63:E1061, A63:A1061, $L63, B63:B1061, "hoops")</f>
        <v>#DIV/0!</v>
      </c>
      <c r="U63" s="7" t="e" cm="1">
        <f t="array" ref="U63">SUMPRODUCT((A63:A1061=$L63)*(B63:B1061="hoops earrings for women")*(D63:D1061)*(E63:E1061)) / SUMIFS(E63:E1061, A63:A1061, $L63, B63:B1061, "hoops earrings for women")</f>
        <v>#DIV/0!</v>
      </c>
      <c r="V63" s="7" t="e" cm="1">
        <f t="array" ref="V63">SUMPRODUCT((A63:A1061=$L63)*(B63:B1061="silver hoops earrings for women")*(D63:D1061)*(E63:E1061)) / SUMIFS(E63:E1061, A63:A1061, $L63, B63:B1061, "silver hoops earrings for women")</f>
        <v>#DIV/0!</v>
      </c>
    </row>
    <row r="64" spans="1:22" x14ac:dyDescent="0.2">
      <c r="A64">
        <v>20250126</v>
      </c>
      <c r="B64" t="s">
        <v>10</v>
      </c>
      <c r="C64" t="s">
        <v>22</v>
      </c>
      <c r="D64">
        <v>1</v>
      </c>
      <c r="E64">
        <v>14</v>
      </c>
      <c r="F64">
        <v>0</v>
      </c>
      <c r="G64">
        <v>0</v>
      </c>
      <c r="H64" s="1">
        <f t="shared" si="0"/>
        <v>45683</v>
      </c>
      <c r="I64">
        <f t="shared" si="1"/>
        <v>5</v>
      </c>
      <c r="L64" s="9" t="s">
        <v>105</v>
      </c>
      <c r="M64" cm="1">
        <f t="array" ref="M64">SUMPRODUCT((A64:A1062=$L64)*(B64:B1062="sterling silver earrings")*(D64:D1062)*(E64:E1062)) / SUMIFS(E64:E1062, A64:A1062, $L64, B64:B1062, "sterling silver earrings")</f>
        <v>0</v>
      </c>
      <c r="N64" s="7" cm="1">
        <f t="array" ref="N64">SUMPRODUCT((A64:A1062=$L64)*(B64:B1062="silver hoop earrings for women")*(D64:D1062)*(E64:E1062)) / SUMIFS(E64:E1062, A64:A1062, $L64, B64:B1062, "silver hoop earrings for women")</f>
        <v>0</v>
      </c>
      <c r="O64" s="7" t="e" cm="1">
        <f t="array" ref="O64">SUMPRODUCT((A64:A1062=$L64)*(B64:B1062="hoop earrings")*(D64:D1062)*(E64:E1062)) / SUMIFS(E64:E1062, A64:A1062, $L64, B64:B1062, "hoop earrings")</f>
        <v>#DIV/0!</v>
      </c>
      <c r="P64" s="7" t="e" cm="1">
        <f t="array" ref="P64">SUMPRODUCT((A64:A1062=$L64)*(B64:B1062="silver hoops")*(D64:D1062)*(E64:E1062)) / SUMIFS(E64:E1062, A64:A1062, $L64, B64:B1062, "silver hoops")</f>
        <v>#DIV/0!</v>
      </c>
      <c r="Q64" s="7" t="e" cm="1">
        <f t="array" ref="Q64">SUMPRODUCT((A64:A1062=$L64)*(B64:B1062="sterling silver hoop earrings")*(D64:D1062)*(E64:E1062)) / SUMIFS(E64:E1062, A64:A1062, $L64, B64:B1062, "sterling silver hoop earrings")</f>
        <v>#DIV/0!</v>
      </c>
      <c r="R64" s="7" t="e" cm="1">
        <f t="array" ref="R64">SUMPRODUCT((A64:A1062=$L64)*(B64:B1062="silver hoop earrings")*(D64:D1062)*(E64:E1062)) / SUMIFS(E64:E1062, A64:A1062, $L64, B64:B1062, "silver hoop earrings")</f>
        <v>#DIV/0!</v>
      </c>
      <c r="S64" s="7" cm="1">
        <f t="array" ref="S64">SUMPRODUCT((A64:A1062=$L64)*(B64:B1062="925 sterling silver earrings")*(D64:D1062)*(E64:E1062)) / SUMIFS(E64:E1062, A64:A1062, $L64, B64:B1062, "925 sterling silver earrings")</f>
        <v>0</v>
      </c>
      <c r="T64" s="7" t="e" cm="1">
        <f t="array" ref="T64">SUMPRODUCT((A64:A1062=$L64)*(B64:B1062="hoops")*(D64:D1062)*(E64:E1062)) / SUMIFS(E64:E1062, A64:A1062, $L64, B64:B1062, "hoops")</f>
        <v>#DIV/0!</v>
      </c>
      <c r="U64" s="7" t="e" cm="1">
        <f t="array" ref="U64">SUMPRODUCT((A64:A1062=$L64)*(B64:B1062="hoops earrings for women")*(D64:D1062)*(E64:E1062)) / SUMIFS(E64:E1062, A64:A1062, $L64, B64:B1062, "hoops earrings for women")</f>
        <v>#DIV/0!</v>
      </c>
      <c r="V64" s="7" t="e" cm="1">
        <f t="array" ref="V64">SUMPRODUCT((A64:A1062=$L64)*(B64:B1062="silver hoops earrings for women")*(D64:D1062)*(E64:E1062)) / SUMIFS(E64:E1062, A64:A1062, $L64, B64:B1062, "silver hoops earrings for women")</f>
        <v>#DIV/0!</v>
      </c>
    </row>
    <row r="65" spans="1:22" x14ac:dyDescent="0.2">
      <c r="A65">
        <v>20250126</v>
      </c>
      <c r="B65" t="s">
        <v>10</v>
      </c>
      <c r="C65" t="s">
        <v>8</v>
      </c>
      <c r="D65">
        <v>1</v>
      </c>
      <c r="E65">
        <v>32</v>
      </c>
      <c r="F65">
        <v>0</v>
      </c>
      <c r="G65">
        <v>0</v>
      </c>
      <c r="H65" s="1">
        <f t="shared" si="0"/>
        <v>45683</v>
      </c>
      <c r="I65">
        <f t="shared" si="1"/>
        <v>5</v>
      </c>
      <c r="L65" s="9" t="s">
        <v>106</v>
      </c>
      <c r="M65" t="e" cm="1">
        <f t="array" ref="M65">SUMPRODUCT((A65:A1063=$L65)*(B65:B1063="sterling silver earrings")*(D65:D1063)*(E65:E1063)) / SUMIFS(E65:E1063, A65:A1063, $L65, B65:B1063, "sterling silver earrings")</f>
        <v>#DIV/0!</v>
      </c>
      <c r="N65" s="7" t="e" cm="1">
        <f t="array" ref="N65">SUMPRODUCT((A65:A1063=$L65)*(B65:B1063="silver hoop earrings for women")*(D65:D1063)*(E65:E1063)) / SUMIFS(E65:E1063, A65:A1063, $L65, B65:B1063, "silver hoop earrings for women")</f>
        <v>#DIV/0!</v>
      </c>
      <c r="O65" s="7" t="e" cm="1">
        <f t="array" ref="O65">SUMPRODUCT((A65:A1063=$L65)*(B65:B1063="hoop earrings")*(D65:D1063)*(E65:E1063)) / SUMIFS(E65:E1063, A65:A1063, $L65, B65:B1063, "hoop earrings")</f>
        <v>#DIV/0!</v>
      </c>
      <c r="P65" s="7" t="e" cm="1">
        <f t="array" ref="P65">SUMPRODUCT((A65:A1063=$L65)*(B65:B1063="silver hoops")*(D65:D1063)*(E65:E1063)) / SUMIFS(E65:E1063, A65:A1063, $L65, B65:B1063, "silver hoops")</f>
        <v>#DIV/0!</v>
      </c>
      <c r="Q65" s="7" t="e" cm="1">
        <f t="array" ref="Q65">SUMPRODUCT((A65:A1063=$L65)*(B65:B1063="sterling silver hoop earrings")*(D65:D1063)*(E65:E1063)) / SUMIFS(E65:E1063, A65:A1063, $L65, B65:B1063, "sterling silver hoop earrings")</f>
        <v>#DIV/0!</v>
      </c>
      <c r="R65" s="7" cm="1">
        <f t="array" ref="R65">SUMPRODUCT((A65:A1063=$L65)*(B65:B1063="silver hoop earrings")*(D65:D1063)*(E65:E1063)) / SUMIFS(E65:E1063, A65:A1063, $L65, B65:B1063, "silver hoop earrings")</f>
        <v>0</v>
      </c>
      <c r="S65" s="7" t="e" cm="1">
        <f t="array" ref="S65">SUMPRODUCT((A65:A1063=$L65)*(B65:B1063="925 sterling silver earrings")*(D65:D1063)*(E65:E1063)) / SUMIFS(E65:E1063, A65:A1063, $L65, B65:B1063, "925 sterling silver earrings")</f>
        <v>#DIV/0!</v>
      </c>
      <c r="T65" s="7" t="e" cm="1">
        <f t="array" ref="T65">SUMPRODUCT((A65:A1063=$L65)*(B65:B1063="hoops")*(D65:D1063)*(E65:E1063)) / SUMIFS(E65:E1063, A65:A1063, $L65, B65:B1063, "hoops")</f>
        <v>#DIV/0!</v>
      </c>
      <c r="U65" s="7" t="e" cm="1">
        <f t="array" ref="U65">SUMPRODUCT((A65:A1063=$L65)*(B65:B1063="hoops earrings for women")*(D65:D1063)*(E65:E1063)) / SUMIFS(E65:E1063, A65:A1063, $L65, B65:B1063, "hoops earrings for women")</f>
        <v>#DIV/0!</v>
      </c>
      <c r="V65" s="7" t="e" cm="1">
        <f t="array" ref="V65">SUMPRODUCT((A65:A1063=$L65)*(B65:B1063="silver hoops earrings for women")*(D65:D1063)*(E65:E1063)) / SUMIFS(E65:E1063, A65:A1063, $L65, B65:B1063, "silver hoops earrings for women")</f>
        <v>#DIV/0!</v>
      </c>
    </row>
    <row r="66" spans="1:22" x14ac:dyDescent="0.2">
      <c r="A66">
        <v>20250127</v>
      </c>
      <c r="B66" t="s">
        <v>16</v>
      </c>
      <c r="C66" t="s">
        <v>17</v>
      </c>
      <c r="D66">
        <v>5</v>
      </c>
      <c r="E66">
        <v>36</v>
      </c>
      <c r="F66">
        <v>0</v>
      </c>
      <c r="G66">
        <v>0</v>
      </c>
      <c r="H66" s="1">
        <f t="shared" ref="H66:H129" si="3">DATE(LEFT(A66,4),MID(A66,5,2),RIGHT(A66,2))</f>
        <v>45684</v>
      </c>
      <c r="I66">
        <f t="shared" ref="I66:I129" si="4">WEEKNUM(H66)</f>
        <v>5</v>
      </c>
      <c r="L66" s="9" t="s">
        <v>107</v>
      </c>
      <c r="M66" t="e" cm="1">
        <f t="array" ref="M66">SUMPRODUCT((A66:A1064=$L66)*(B66:B1064="sterling silver earrings")*(D66:D1064)*(E66:E1064)) / SUMIFS(E66:E1064, A66:A1064, $L66, B66:B1064, "sterling silver earrings")</f>
        <v>#DIV/0!</v>
      </c>
      <c r="N66" s="7" t="e" cm="1">
        <f t="array" ref="N66">SUMPRODUCT((A66:A1064=$L66)*(B66:B1064="silver hoop earrings for women")*(D66:D1064)*(E66:E1064)) / SUMIFS(E66:E1064, A66:A1064, $L66, B66:B1064, "silver hoop earrings for women")</f>
        <v>#DIV/0!</v>
      </c>
      <c r="O66" s="7" t="e" cm="1">
        <f t="array" ref="O66">SUMPRODUCT((A66:A1064=$L66)*(B66:B1064="hoop earrings")*(D66:D1064)*(E66:E1064)) / SUMIFS(E66:E1064, A66:A1064, $L66, B66:B1064, "hoop earrings")</f>
        <v>#DIV/0!</v>
      </c>
      <c r="P66" s="7" t="e" cm="1">
        <f t="array" ref="P66">SUMPRODUCT((A66:A1064=$L66)*(B66:B1064="silver hoops")*(D66:D1064)*(E66:E1064)) / SUMIFS(E66:E1064, A66:A1064, $L66, B66:B1064, "silver hoops")</f>
        <v>#DIV/0!</v>
      </c>
      <c r="Q66" s="7" t="e" cm="1">
        <f t="array" ref="Q66">SUMPRODUCT((A66:A1064=$L66)*(B66:B1064="sterling silver hoop earrings")*(D66:D1064)*(E66:E1064)) / SUMIFS(E66:E1064, A66:A1064, $L66, B66:B1064, "sterling silver hoop earrings")</f>
        <v>#DIV/0!</v>
      </c>
      <c r="R66" s="7" t="e" cm="1">
        <f t="array" ref="R66">SUMPRODUCT((A66:A1064=$L66)*(B66:B1064="silver hoop earrings")*(D66:D1064)*(E66:E1064)) / SUMIFS(E66:E1064, A66:A1064, $L66, B66:B1064, "silver hoop earrings")</f>
        <v>#DIV/0!</v>
      </c>
      <c r="S66" s="7" t="e" cm="1">
        <f t="array" ref="S66">SUMPRODUCT((A66:A1064=$L66)*(B66:B1064="925 sterling silver earrings")*(D66:D1064)*(E66:E1064)) / SUMIFS(E66:E1064, A66:A1064, $L66, B66:B1064, "925 sterling silver earrings")</f>
        <v>#DIV/0!</v>
      </c>
      <c r="T66" s="7" t="e" cm="1">
        <f t="array" ref="T66">SUMPRODUCT((A66:A1064=$L66)*(B66:B1064="hoops")*(D66:D1064)*(E66:E1064)) / SUMIFS(E66:E1064, A66:A1064, $L66, B66:B1064, "hoops")</f>
        <v>#DIV/0!</v>
      </c>
      <c r="U66" s="7" t="e" cm="1">
        <f t="array" ref="U66">SUMPRODUCT((A66:A1064=$L66)*(B66:B1064="hoops earrings for women")*(D66:D1064)*(E66:E1064)) / SUMIFS(E66:E1064, A66:A1064, $L66, B66:B1064, "hoops earrings for women")</f>
        <v>#DIV/0!</v>
      </c>
      <c r="V66" s="7" t="e" cm="1">
        <f t="array" ref="V66">SUMPRODUCT((A66:A1064=$L66)*(B66:B1064="silver hoops earrings for women")*(D66:D1064)*(E66:E1064)) / SUMIFS(E66:E1064, A66:A1064, $L66, B66:B1064, "silver hoops earrings for women")</f>
        <v>#DIV/0!</v>
      </c>
    </row>
    <row r="67" spans="1:22" x14ac:dyDescent="0.2">
      <c r="A67">
        <v>20250127</v>
      </c>
      <c r="B67" t="s">
        <v>9</v>
      </c>
      <c r="C67" t="s">
        <v>8</v>
      </c>
      <c r="D67">
        <v>2</v>
      </c>
      <c r="E67">
        <v>1</v>
      </c>
      <c r="F67">
        <v>0</v>
      </c>
      <c r="G67">
        <v>0</v>
      </c>
      <c r="H67" s="1">
        <f t="shared" si="3"/>
        <v>45684</v>
      </c>
      <c r="I67">
        <f t="shared" si="4"/>
        <v>5</v>
      </c>
      <c r="L67" s="9" t="s">
        <v>108</v>
      </c>
      <c r="M67" cm="1">
        <f t="array" ref="M67">SUMPRODUCT((A67:A1065=$L67)*(B67:B1065="sterling silver earrings")*(D67:D1065)*(E67:E1065)) / SUMIFS(E67:E1065, A67:A1065, $L67, B67:B1065, "sterling silver earrings")</f>
        <v>0</v>
      </c>
      <c r="N67" s="7" cm="1">
        <f t="array" ref="N67">SUMPRODUCT((A67:A1065=$L67)*(B67:B1065="silver hoop earrings for women")*(D67:D1065)*(E67:E1065)) / SUMIFS(E67:E1065, A67:A1065, $L67, B67:B1065, "silver hoop earrings for women")</f>
        <v>0</v>
      </c>
      <c r="O67" s="7" t="e" cm="1">
        <f t="array" ref="O67">SUMPRODUCT((A67:A1065=$L67)*(B67:B1065="hoop earrings")*(D67:D1065)*(E67:E1065)) / SUMIFS(E67:E1065, A67:A1065, $L67, B67:B1065, "hoop earrings")</f>
        <v>#DIV/0!</v>
      </c>
      <c r="P67" s="7" t="e" cm="1">
        <f t="array" ref="P67">SUMPRODUCT((A67:A1065=$L67)*(B67:B1065="silver hoops")*(D67:D1065)*(E67:E1065)) / SUMIFS(E67:E1065, A67:A1065, $L67, B67:B1065, "silver hoops")</f>
        <v>#DIV/0!</v>
      </c>
      <c r="Q67" s="7" t="e" cm="1">
        <f t="array" ref="Q67">SUMPRODUCT((A67:A1065=$L67)*(B67:B1065="sterling silver hoop earrings")*(D67:D1065)*(E67:E1065)) / SUMIFS(E67:E1065, A67:A1065, $L67, B67:B1065, "sterling silver hoop earrings")</f>
        <v>#DIV/0!</v>
      </c>
      <c r="R67" s="7" cm="1">
        <f t="array" ref="R67">SUMPRODUCT((A67:A1065=$L67)*(B67:B1065="silver hoop earrings")*(D67:D1065)*(E67:E1065)) / SUMIFS(E67:E1065, A67:A1065, $L67, B67:B1065, "silver hoop earrings")</f>
        <v>0</v>
      </c>
      <c r="S67" s="7" t="e" cm="1">
        <f t="array" ref="S67">SUMPRODUCT((A67:A1065=$L67)*(B67:B1065="925 sterling silver earrings")*(D67:D1065)*(E67:E1065)) / SUMIFS(E67:E1065, A67:A1065, $L67, B67:B1065, "925 sterling silver earrings")</f>
        <v>#DIV/0!</v>
      </c>
      <c r="T67" s="7" t="e" cm="1">
        <f t="array" ref="T67">SUMPRODUCT((A67:A1065=$L67)*(B67:B1065="hoops")*(D67:D1065)*(E67:E1065)) / SUMIFS(E67:E1065, A67:A1065, $L67, B67:B1065, "hoops")</f>
        <v>#DIV/0!</v>
      </c>
      <c r="U67" s="7" t="e" cm="1">
        <f t="array" ref="U67">SUMPRODUCT((A67:A1065=$L67)*(B67:B1065="hoops earrings for women")*(D67:D1065)*(E67:E1065)) / SUMIFS(E67:E1065, A67:A1065, $L67, B67:B1065, "hoops earrings for women")</f>
        <v>#DIV/0!</v>
      </c>
      <c r="V67" s="7" t="e" cm="1">
        <f t="array" ref="V67">SUMPRODUCT((A67:A1065=$L67)*(B67:B1065="silver hoops earrings for women")*(D67:D1065)*(E67:E1065)) / SUMIFS(E67:E1065, A67:A1065, $L67, B67:B1065, "silver hoops earrings for women")</f>
        <v>#DIV/0!</v>
      </c>
    </row>
    <row r="68" spans="1:22" x14ac:dyDescent="0.2">
      <c r="A68">
        <v>20250129</v>
      </c>
      <c r="B68" t="s">
        <v>7</v>
      </c>
      <c r="C68" t="s">
        <v>8</v>
      </c>
      <c r="D68">
        <v>2</v>
      </c>
      <c r="E68">
        <v>1</v>
      </c>
      <c r="F68">
        <v>0</v>
      </c>
      <c r="G68">
        <v>1</v>
      </c>
      <c r="H68" s="1">
        <f t="shared" si="3"/>
        <v>45686</v>
      </c>
      <c r="I68">
        <f t="shared" si="4"/>
        <v>5</v>
      </c>
      <c r="L68" s="9" t="s">
        <v>109</v>
      </c>
      <c r="M68" cm="1">
        <f t="array" ref="M68">SUMPRODUCT((A68:A1066=$L68)*(B68:B1066="sterling silver earrings")*(D68:D1066)*(E68:E1066)) / SUMIFS(E68:E1066, A68:A1066, $L68, B68:B1066, "sterling silver earrings")</f>
        <v>0</v>
      </c>
      <c r="N68" s="7" t="e" cm="1">
        <f t="array" ref="N68">SUMPRODUCT((A68:A1066=$L68)*(B68:B1066="silver hoop earrings for women")*(D68:D1066)*(E68:E1066)) / SUMIFS(E68:E1066, A68:A1066, $L68, B68:B1066, "silver hoop earrings for women")</f>
        <v>#DIV/0!</v>
      </c>
      <c r="O68" s="7" t="e" cm="1">
        <f t="array" ref="O68">SUMPRODUCT((A68:A1066=$L68)*(B68:B1066="hoop earrings")*(D68:D1066)*(E68:E1066)) / SUMIFS(E68:E1066, A68:A1066, $L68, B68:B1066, "hoop earrings")</f>
        <v>#DIV/0!</v>
      </c>
      <c r="P68" s="7" t="e" cm="1">
        <f t="array" ref="P68">SUMPRODUCT((A68:A1066=$L68)*(B68:B1066="silver hoops")*(D68:D1066)*(E68:E1066)) / SUMIFS(E68:E1066, A68:A1066, $L68, B68:B1066, "silver hoops")</f>
        <v>#DIV/0!</v>
      </c>
      <c r="Q68" s="7" t="e" cm="1">
        <f t="array" ref="Q68">SUMPRODUCT((A68:A1066=$L68)*(B68:B1066="sterling silver hoop earrings")*(D68:D1066)*(E68:E1066)) / SUMIFS(E68:E1066, A68:A1066, $L68, B68:B1066, "sterling silver hoop earrings")</f>
        <v>#DIV/0!</v>
      </c>
      <c r="R68" s="7" t="e" cm="1">
        <f t="array" ref="R68">SUMPRODUCT((A68:A1066=$L68)*(B68:B1066="silver hoop earrings")*(D68:D1066)*(E68:E1066)) / SUMIFS(E68:E1066, A68:A1066, $L68, B68:B1066, "silver hoop earrings")</f>
        <v>#DIV/0!</v>
      </c>
      <c r="S68" s="7" t="e" cm="1">
        <f t="array" ref="S68">SUMPRODUCT((A68:A1066=$L68)*(B68:B1066="925 sterling silver earrings")*(D68:D1066)*(E68:E1066)) / SUMIFS(E68:E1066, A68:A1066, $L68, B68:B1066, "925 sterling silver earrings")</f>
        <v>#DIV/0!</v>
      </c>
      <c r="T68" s="7" t="e" cm="1">
        <f t="array" ref="T68">SUMPRODUCT((A68:A1066=$L68)*(B68:B1066="hoops")*(D68:D1066)*(E68:E1066)) / SUMIFS(E68:E1066, A68:A1066, $L68, B68:B1066, "hoops")</f>
        <v>#DIV/0!</v>
      </c>
      <c r="U68" s="7" t="e" cm="1">
        <f t="array" ref="U68">SUMPRODUCT((A68:A1066=$L68)*(B68:B1066="hoops earrings for women")*(D68:D1066)*(E68:E1066)) / SUMIFS(E68:E1066, A68:A1066, $L68, B68:B1066, "hoops earrings for women")</f>
        <v>#DIV/0!</v>
      </c>
      <c r="V68" s="7" t="e" cm="1">
        <f t="array" ref="V68">SUMPRODUCT((A68:A1066=$L68)*(B68:B1066="silver hoops earrings for women")*(D68:D1066)*(E68:E1066)) / SUMIFS(E68:E1066, A68:A1066, $L68, B68:B1066, "silver hoops earrings for women")</f>
        <v>#DIV/0!</v>
      </c>
    </row>
    <row r="69" spans="1:22" x14ac:dyDescent="0.2">
      <c r="A69">
        <v>20250129</v>
      </c>
      <c r="B69" t="s">
        <v>10</v>
      </c>
      <c r="C69" t="s">
        <v>8</v>
      </c>
      <c r="D69">
        <v>1</v>
      </c>
      <c r="E69">
        <v>15</v>
      </c>
      <c r="F69">
        <v>0</v>
      </c>
      <c r="G69">
        <v>0</v>
      </c>
      <c r="H69" s="1">
        <f t="shared" si="3"/>
        <v>45686</v>
      </c>
      <c r="I69">
        <f t="shared" si="4"/>
        <v>5</v>
      </c>
      <c r="L69" s="9" t="s">
        <v>110</v>
      </c>
      <c r="M69" t="e" cm="1">
        <f t="array" ref="M69">SUMPRODUCT((A69:A1067=$L69)*(B69:B1067="sterling silver earrings")*(D69:D1067)*(E69:E1067)) / SUMIFS(E69:E1067, A69:A1067, $L69, B69:B1067, "sterling silver earrings")</f>
        <v>#DIV/0!</v>
      </c>
      <c r="N69" s="7" cm="1">
        <f t="array" ref="N69">SUMPRODUCT((A69:A1067=$L69)*(B69:B1067="silver hoop earrings for women")*(D69:D1067)*(E69:E1067)) / SUMIFS(E69:E1067, A69:A1067, $L69, B69:B1067, "silver hoop earrings for women")</f>
        <v>0</v>
      </c>
      <c r="O69" s="7" t="e" cm="1">
        <f t="array" ref="O69">SUMPRODUCT((A69:A1067=$L69)*(B69:B1067="hoop earrings")*(D69:D1067)*(E69:E1067)) / SUMIFS(E69:E1067, A69:A1067, $L69, B69:B1067, "hoop earrings")</f>
        <v>#DIV/0!</v>
      </c>
      <c r="P69" s="7" t="e" cm="1">
        <f t="array" ref="P69">SUMPRODUCT((A69:A1067=$L69)*(B69:B1067="silver hoops")*(D69:D1067)*(E69:E1067)) / SUMIFS(E69:E1067, A69:A1067, $L69, B69:B1067, "silver hoops")</f>
        <v>#DIV/0!</v>
      </c>
      <c r="Q69" s="7" t="e" cm="1">
        <f t="array" ref="Q69">SUMPRODUCT((A69:A1067=$L69)*(B69:B1067="sterling silver hoop earrings")*(D69:D1067)*(E69:E1067)) / SUMIFS(E69:E1067, A69:A1067, $L69, B69:B1067, "sterling silver hoop earrings")</f>
        <v>#DIV/0!</v>
      </c>
      <c r="R69" s="7" t="e" cm="1">
        <f t="array" ref="R69">SUMPRODUCT((A69:A1067=$L69)*(B69:B1067="silver hoop earrings")*(D69:D1067)*(E69:E1067)) / SUMIFS(E69:E1067, A69:A1067, $L69, B69:B1067, "silver hoop earrings")</f>
        <v>#DIV/0!</v>
      </c>
      <c r="S69" s="7" t="e" cm="1">
        <f t="array" ref="S69">SUMPRODUCT((A69:A1067=$L69)*(B69:B1067="925 sterling silver earrings")*(D69:D1067)*(E69:E1067)) / SUMIFS(E69:E1067, A69:A1067, $L69, B69:B1067, "925 sterling silver earrings")</f>
        <v>#DIV/0!</v>
      </c>
      <c r="T69" s="7" t="e" cm="1">
        <f t="array" ref="T69">SUMPRODUCT((A69:A1067=$L69)*(B69:B1067="hoops")*(D69:D1067)*(E69:E1067)) / SUMIFS(E69:E1067, A69:A1067, $L69, B69:B1067, "hoops")</f>
        <v>#DIV/0!</v>
      </c>
      <c r="U69" s="7" t="e" cm="1">
        <f t="array" ref="U69">SUMPRODUCT((A69:A1067=$L69)*(B69:B1067="hoops earrings for women")*(D69:D1067)*(E69:E1067)) / SUMIFS(E69:E1067, A69:A1067, $L69, B69:B1067, "hoops earrings for women")</f>
        <v>#DIV/0!</v>
      </c>
      <c r="V69" s="7" cm="1">
        <f t="array" ref="V69">SUMPRODUCT((A69:A1067=$L69)*(B69:B1067="silver hoops earrings for women")*(D69:D1067)*(E69:E1067)) / SUMIFS(E69:E1067, A69:A1067, $L69, B69:B1067, "silver hoops earrings for women")</f>
        <v>0</v>
      </c>
    </row>
    <row r="70" spans="1:22" x14ac:dyDescent="0.2">
      <c r="A70">
        <v>20250130</v>
      </c>
      <c r="B70" t="s">
        <v>19</v>
      </c>
      <c r="C70" t="s">
        <v>8</v>
      </c>
      <c r="D70">
        <v>1</v>
      </c>
      <c r="E70">
        <v>15</v>
      </c>
      <c r="F70">
        <v>0</v>
      </c>
      <c r="G70">
        <v>0</v>
      </c>
      <c r="H70" s="1">
        <f t="shared" si="3"/>
        <v>45687</v>
      </c>
      <c r="I70">
        <f t="shared" si="4"/>
        <v>5</v>
      </c>
      <c r="L70" s="9" t="s">
        <v>111</v>
      </c>
      <c r="M70" cm="1">
        <f t="array" ref="M70">SUMPRODUCT((A70:A1068=$L70)*(B70:B1068="sterling silver earrings")*(D70:D1068)*(E70:E1068)) / SUMIFS(E70:E1068, A70:A1068, $L70, B70:B1068, "sterling silver earrings")</f>
        <v>0</v>
      </c>
      <c r="N70" s="7" cm="1">
        <f t="array" ref="N70">SUMPRODUCT((A70:A1068=$L70)*(B70:B1068="silver hoop earrings for women")*(D70:D1068)*(E70:E1068)) / SUMIFS(E70:E1068, A70:A1068, $L70, B70:B1068, "silver hoop earrings for women")</f>
        <v>0</v>
      </c>
      <c r="O70" s="7" t="e" cm="1">
        <f t="array" ref="O70">SUMPRODUCT((A70:A1068=$L70)*(B70:B1068="hoop earrings")*(D70:D1068)*(E70:E1068)) / SUMIFS(E70:E1068, A70:A1068, $L70, B70:B1068, "hoop earrings")</f>
        <v>#DIV/0!</v>
      </c>
      <c r="P70" s="7" t="e" cm="1">
        <f t="array" ref="P70">SUMPRODUCT((A70:A1068=$L70)*(B70:B1068="silver hoops")*(D70:D1068)*(E70:E1068)) / SUMIFS(E70:E1068, A70:A1068, $L70, B70:B1068, "silver hoops")</f>
        <v>#DIV/0!</v>
      </c>
      <c r="Q70" s="7" t="e" cm="1">
        <f t="array" ref="Q70">SUMPRODUCT((A70:A1068=$L70)*(B70:B1068="sterling silver hoop earrings")*(D70:D1068)*(E70:E1068)) / SUMIFS(E70:E1068, A70:A1068, $L70, B70:B1068, "sterling silver hoop earrings")</f>
        <v>#DIV/0!</v>
      </c>
      <c r="R70" s="7" t="e" cm="1">
        <f t="array" ref="R70">SUMPRODUCT((A70:A1068=$L70)*(B70:B1068="silver hoop earrings")*(D70:D1068)*(E70:E1068)) / SUMIFS(E70:E1068, A70:A1068, $L70, B70:B1068, "silver hoop earrings")</f>
        <v>#DIV/0!</v>
      </c>
      <c r="S70" s="7" t="e" cm="1">
        <f t="array" ref="S70">SUMPRODUCT((A70:A1068=$L70)*(B70:B1068="925 sterling silver earrings")*(D70:D1068)*(E70:E1068)) / SUMIFS(E70:E1068, A70:A1068, $L70, B70:B1068, "925 sterling silver earrings")</f>
        <v>#DIV/0!</v>
      </c>
      <c r="T70" s="7" t="e" cm="1">
        <f t="array" ref="T70">SUMPRODUCT((A70:A1068=$L70)*(B70:B1068="hoops")*(D70:D1068)*(E70:E1068)) / SUMIFS(E70:E1068, A70:A1068, $L70, B70:B1068, "hoops")</f>
        <v>#DIV/0!</v>
      </c>
      <c r="U70" s="7" t="e" cm="1">
        <f t="array" ref="U70">SUMPRODUCT((A70:A1068=$L70)*(B70:B1068="hoops earrings for women")*(D70:D1068)*(E70:E1068)) / SUMIFS(E70:E1068, A70:A1068, $L70, B70:B1068, "hoops earrings for women")</f>
        <v>#DIV/0!</v>
      </c>
      <c r="V70" s="7" t="e" cm="1">
        <f t="array" ref="V70">SUMPRODUCT((A70:A1068=$L70)*(B70:B1068="silver hoops earrings for women")*(D70:D1068)*(E70:E1068)) / SUMIFS(E70:E1068, A70:A1068, $L70, B70:B1068, "silver hoops earrings for women")</f>
        <v>#DIV/0!</v>
      </c>
    </row>
    <row r="71" spans="1:22" x14ac:dyDescent="0.2">
      <c r="A71">
        <v>20250130</v>
      </c>
      <c r="B71" t="s">
        <v>16</v>
      </c>
      <c r="C71" t="s">
        <v>13</v>
      </c>
      <c r="D71">
        <v>2</v>
      </c>
      <c r="E71">
        <v>1</v>
      </c>
      <c r="F71">
        <v>0</v>
      </c>
      <c r="G71">
        <v>0</v>
      </c>
      <c r="H71" s="1">
        <f t="shared" si="3"/>
        <v>45687</v>
      </c>
      <c r="I71">
        <f t="shared" si="4"/>
        <v>5</v>
      </c>
      <c r="L71" s="9" t="s">
        <v>112</v>
      </c>
      <c r="M71" t="e" cm="1">
        <f t="array" ref="M71">SUMPRODUCT((A71:A1069=$L71)*(B71:B1069="sterling silver earrings")*(D71:D1069)*(E71:E1069)) / SUMIFS(E71:E1069, A71:A1069, $L71, B71:B1069, "sterling silver earrings")</f>
        <v>#DIV/0!</v>
      </c>
      <c r="N71" s="7" cm="1">
        <f t="array" ref="N71">SUMPRODUCT((A71:A1069=$L71)*(B71:B1069="silver hoop earrings for women")*(D71:D1069)*(E71:E1069)) / SUMIFS(E71:E1069, A71:A1069, $L71, B71:B1069, "silver hoop earrings for women")</f>
        <v>0</v>
      </c>
      <c r="O71" s="7" t="e" cm="1">
        <f t="array" ref="O71">SUMPRODUCT((A71:A1069=$L71)*(B71:B1069="hoop earrings")*(D71:D1069)*(E71:E1069)) / SUMIFS(E71:E1069, A71:A1069, $L71, B71:B1069, "hoop earrings")</f>
        <v>#DIV/0!</v>
      </c>
      <c r="P71" s="7" t="e" cm="1">
        <f t="array" ref="P71">SUMPRODUCT((A71:A1069=$L71)*(B71:B1069="silver hoops")*(D71:D1069)*(E71:E1069)) / SUMIFS(E71:E1069, A71:A1069, $L71, B71:B1069, "silver hoops")</f>
        <v>#DIV/0!</v>
      </c>
      <c r="Q71" s="7" cm="1">
        <f t="array" ref="Q71">SUMPRODUCT((A71:A1069=$L71)*(B71:B1069="sterling silver hoop earrings")*(D71:D1069)*(E71:E1069)) / SUMIFS(E71:E1069, A71:A1069, $L71, B71:B1069, "sterling silver hoop earrings")</f>
        <v>0</v>
      </c>
      <c r="R71" s="7" cm="1">
        <f t="array" ref="R71">SUMPRODUCT((A71:A1069=$L71)*(B71:B1069="silver hoop earrings")*(D71:D1069)*(E71:E1069)) / SUMIFS(E71:E1069, A71:A1069, $L71, B71:B1069, "silver hoop earrings")</f>
        <v>0</v>
      </c>
      <c r="S71" s="7" t="e" cm="1">
        <f t="array" ref="S71">SUMPRODUCT((A71:A1069=$L71)*(B71:B1069="925 sterling silver earrings")*(D71:D1069)*(E71:E1069)) / SUMIFS(E71:E1069, A71:A1069, $L71, B71:B1069, "925 sterling silver earrings")</f>
        <v>#DIV/0!</v>
      </c>
      <c r="T71" s="7" t="e" cm="1">
        <f t="array" ref="T71">SUMPRODUCT((A71:A1069=$L71)*(B71:B1069="hoops")*(D71:D1069)*(E71:E1069)) / SUMIFS(E71:E1069, A71:A1069, $L71, B71:B1069, "hoops")</f>
        <v>#DIV/0!</v>
      </c>
      <c r="U71" s="7" t="e" cm="1">
        <f t="array" ref="U71">SUMPRODUCT((A71:A1069=$L71)*(B71:B1069="hoops earrings for women")*(D71:D1069)*(E71:E1069)) / SUMIFS(E71:E1069, A71:A1069, $L71, B71:B1069, "hoops earrings for women")</f>
        <v>#DIV/0!</v>
      </c>
      <c r="V71" s="7" t="e" cm="1">
        <f t="array" ref="V71">SUMPRODUCT((A71:A1069=$L71)*(B71:B1069="silver hoops earrings for women")*(D71:D1069)*(E71:E1069)) / SUMIFS(E71:E1069, A71:A1069, $L71, B71:B1069, "silver hoops earrings for women")</f>
        <v>#DIV/0!</v>
      </c>
    </row>
    <row r="72" spans="1:22" x14ac:dyDescent="0.2">
      <c r="A72">
        <v>20250130</v>
      </c>
      <c r="B72" t="s">
        <v>7</v>
      </c>
      <c r="C72" t="s">
        <v>8</v>
      </c>
      <c r="D72">
        <v>1</v>
      </c>
      <c r="E72">
        <v>1</v>
      </c>
      <c r="F72">
        <v>1</v>
      </c>
      <c r="G72">
        <v>1</v>
      </c>
      <c r="H72" s="1">
        <f t="shared" si="3"/>
        <v>45687</v>
      </c>
      <c r="I72">
        <f t="shared" si="4"/>
        <v>5</v>
      </c>
      <c r="L72" s="9" t="s">
        <v>113</v>
      </c>
      <c r="M72" t="e" cm="1">
        <f t="array" ref="M72">SUMPRODUCT((A72:A1070=$L72)*(B72:B1070="sterling silver earrings")*(D72:D1070)*(E72:E1070)) / SUMIFS(E72:E1070, A72:A1070, $L72, B72:B1070, "sterling silver earrings")</f>
        <v>#DIV/0!</v>
      </c>
      <c r="N72" s="7" cm="1">
        <f t="array" ref="N72">SUMPRODUCT((A72:A1070=$L72)*(B72:B1070="silver hoop earrings for women")*(D72:D1070)*(E72:E1070)) / SUMIFS(E72:E1070, A72:A1070, $L72, B72:B1070, "silver hoop earrings for women")</f>
        <v>0</v>
      </c>
      <c r="O72" s="7" t="e" cm="1">
        <f t="array" ref="O72">SUMPRODUCT((A72:A1070=$L72)*(B72:B1070="hoop earrings")*(D72:D1070)*(E72:E1070)) / SUMIFS(E72:E1070, A72:A1070, $L72, B72:B1070, "hoop earrings")</f>
        <v>#DIV/0!</v>
      </c>
      <c r="P72" s="7" t="e" cm="1">
        <f t="array" ref="P72">SUMPRODUCT((A72:A1070=$L72)*(B72:B1070="silver hoops")*(D72:D1070)*(E72:E1070)) / SUMIFS(E72:E1070, A72:A1070, $L72, B72:B1070, "silver hoops")</f>
        <v>#DIV/0!</v>
      </c>
      <c r="Q72" s="7" cm="1">
        <f t="array" ref="Q72">SUMPRODUCT((A72:A1070=$L72)*(B72:B1070="sterling silver hoop earrings")*(D72:D1070)*(E72:E1070)) / SUMIFS(E72:E1070, A72:A1070, $L72, B72:B1070, "sterling silver hoop earrings")</f>
        <v>0</v>
      </c>
      <c r="R72" s="7" t="e" cm="1">
        <f t="array" ref="R72">SUMPRODUCT((A72:A1070=$L72)*(B72:B1070="silver hoop earrings")*(D72:D1070)*(E72:E1070)) / SUMIFS(E72:E1070, A72:A1070, $L72, B72:B1070, "silver hoop earrings")</f>
        <v>#DIV/0!</v>
      </c>
      <c r="S72" s="7" t="e" cm="1">
        <f t="array" ref="S72">SUMPRODUCT((A72:A1070=$L72)*(B72:B1070="925 sterling silver earrings")*(D72:D1070)*(E72:E1070)) / SUMIFS(E72:E1070, A72:A1070, $L72, B72:B1070, "925 sterling silver earrings")</f>
        <v>#DIV/0!</v>
      </c>
      <c r="T72" s="7" t="e" cm="1">
        <f t="array" ref="T72">SUMPRODUCT((A72:A1070=$L72)*(B72:B1070="hoops")*(D72:D1070)*(E72:E1070)) / SUMIFS(E72:E1070, A72:A1070, $L72, B72:B1070, "hoops")</f>
        <v>#DIV/0!</v>
      </c>
      <c r="U72" s="7" t="e" cm="1">
        <f t="array" ref="U72">SUMPRODUCT((A72:A1070=$L72)*(B72:B1070="hoops earrings for women")*(D72:D1070)*(E72:E1070)) / SUMIFS(E72:E1070, A72:A1070, $L72, B72:B1070, "hoops earrings for women")</f>
        <v>#DIV/0!</v>
      </c>
      <c r="V72" s="7" t="e" cm="1">
        <f t="array" ref="V72">SUMPRODUCT((A72:A1070=$L72)*(B72:B1070="silver hoops earrings for women")*(D72:D1070)*(E72:E1070)) / SUMIFS(E72:E1070, A72:A1070, $L72, B72:B1070, "silver hoops earrings for women")</f>
        <v>#DIV/0!</v>
      </c>
    </row>
    <row r="73" spans="1:22" x14ac:dyDescent="0.2">
      <c r="A73">
        <v>20250131</v>
      </c>
      <c r="B73" t="s">
        <v>12</v>
      </c>
      <c r="C73" t="s">
        <v>22</v>
      </c>
      <c r="D73">
        <v>1</v>
      </c>
      <c r="E73">
        <v>8</v>
      </c>
      <c r="F73">
        <v>0</v>
      </c>
      <c r="G73">
        <v>0</v>
      </c>
      <c r="H73" s="1">
        <f t="shared" si="3"/>
        <v>45688</v>
      </c>
      <c r="I73">
        <f t="shared" si="4"/>
        <v>5</v>
      </c>
      <c r="L73" s="9" t="s">
        <v>114</v>
      </c>
      <c r="M73" t="e" cm="1">
        <f t="array" ref="M73">SUMPRODUCT((A73:A1071=$L73)*(B73:B1071="sterling silver earrings")*(D73:D1071)*(E73:E1071)) / SUMIFS(E73:E1071, A73:A1071, $L73, B73:B1071, "sterling silver earrings")</f>
        <v>#DIV/0!</v>
      </c>
      <c r="N73" s="7" cm="1">
        <f t="array" ref="N73">SUMPRODUCT((A73:A1071=$L73)*(B73:B1071="silver hoop earrings for women")*(D73:D1071)*(E73:E1071)) / SUMIFS(E73:E1071, A73:A1071, $L73, B73:B1071, "silver hoop earrings for women")</f>
        <v>0</v>
      </c>
      <c r="O73" s="7" t="e" cm="1">
        <f t="array" ref="O73">SUMPRODUCT((A73:A1071=$L73)*(B73:B1071="hoop earrings")*(D73:D1071)*(E73:E1071)) / SUMIFS(E73:E1071, A73:A1071, $L73, B73:B1071, "hoop earrings")</f>
        <v>#DIV/0!</v>
      </c>
      <c r="P73" s="7" t="e" cm="1">
        <f t="array" ref="P73">SUMPRODUCT((A73:A1071=$L73)*(B73:B1071="silver hoops")*(D73:D1071)*(E73:E1071)) / SUMIFS(E73:E1071, A73:A1071, $L73, B73:B1071, "silver hoops")</f>
        <v>#DIV/0!</v>
      </c>
      <c r="Q73" s="7" cm="1">
        <f t="array" ref="Q73">SUMPRODUCT((A73:A1071=$L73)*(B73:B1071="sterling silver hoop earrings")*(D73:D1071)*(E73:E1071)) / SUMIFS(E73:E1071, A73:A1071, $L73, B73:B1071, "sterling silver hoop earrings")</f>
        <v>0</v>
      </c>
      <c r="R73" s="7" t="e" cm="1">
        <f t="array" ref="R73">SUMPRODUCT((A73:A1071=$L73)*(B73:B1071="silver hoop earrings")*(D73:D1071)*(E73:E1071)) / SUMIFS(E73:E1071, A73:A1071, $L73, B73:B1071, "silver hoop earrings")</f>
        <v>#DIV/0!</v>
      </c>
      <c r="S73" s="7" cm="1">
        <f t="array" ref="S73">SUMPRODUCT((A73:A1071=$L73)*(B73:B1071="925 sterling silver earrings")*(D73:D1071)*(E73:E1071)) / SUMIFS(E73:E1071, A73:A1071, $L73, B73:B1071, "925 sterling silver earrings")</f>
        <v>0</v>
      </c>
      <c r="T73" s="7" t="e" cm="1">
        <f t="array" ref="T73">SUMPRODUCT((A73:A1071=$L73)*(B73:B1071="hoops")*(D73:D1071)*(E73:E1071)) / SUMIFS(E73:E1071, A73:A1071, $L73, B73:B1071, "hoops")</f>
        <v>#DIV/0!</v>
      </c>
      <c r="U73" s="7" t="e" cm="1">
        <f t="array" ref="U73">SUMPRODUCT((A73:A1071=$L73)*(B73:B1071="hoops earrings for women")*(D73:D1071)*(E73:E1071)) / SUMIFS(E73:E1071, A73:A1071, $L73, B73:B1071, "hoops earrings for women")</f>
        <v>#DIV/0!</v>
      </c>
      <c r="V73" s="7" t="e" cm="1">
        <f t="array" ref="V73">SUMPRODUCT((A73:A1071=$L73)*(B73:B1071="silver hoops earrings for women")*(D73:D1071)*(E73:E1071)) / SUMIFS(E73:E1071, A73:A1071, $L73, B73:B1071, "silver hoops earrings for women")</f>
        <v>#DIV/0!</v>
      </c>
    </row>
    <row r="74" spans="1:22" x14ac:dyDescent="0.2">
      <c r="A74">
        <v>20250131</v>
      </c>
      <c r="B74" t="s">
        <v>7</v>
      </c>
      <c r="C74" t="s">
        <v>17</v>
      </c>
      <c r="D74">
        <v>5</v>
      </c>
      <c r="E74">
        <v>1</v>
      </c>
      <c r="F74">
        <v>0</v>
      </c>
      <c r="G74">
        <v>7</v>
      </c>
      <c r="H74" s="1">
        <f t="shared" si="3"/>
        <v>45688</v>
      </c>
      <c r="I74">
        <f t="shared" si="4"/>
        <v>5</v>
      </c>
      <c r="L74" s="9" t="s">
        <v>115</v>
      </c>
      <c r="M74" cm="1">
        <f t="array" ref="M74">SUMPRODUCT((A74:A1072=$L74)*(B74:B1072="sterling silver earrings")*(D74:D1072)*(E74:E1072)) / SUMIFS(E74:E1072, A74:A1072, $L74, B74:B1072, "sterling silver earrings")</f>
        <v>0</v>
      </c>
      <c r="N74" s="7" t="e" cm="1">
        <f t="array" ref="N74">SUMPRODUCT((A74:A1072=$L74)*(B74:B1072="silver hoop earrings for women")*(D74:D1072)*(E74:E1072)) / SUMIFS(E74:E1072, A74:A1072, $L74, B74:B1072, "silver hoop earrings for women")</f>
        <v>#DIV/0!</v>
      </c>
      <c r="O74" s="7" t="e" cm="1">
        <f t="array" ref="O74">SUMPRODUCT((A74:A1072=$L74)*(B74:B1072="hoop earrings")*(D74:D1072)*(E74:E1072)) / SUMIFS(E74:E1072, A74:A1072, $L74, B74:B1072, "hoop earrings")</f>
        <v>#DIV/0!</v>
      </c>
      <c r="P74" s="7" t="e" cm="1">
        <f t="array" ref="P74">SUMPRODUCT((A74:A1072=$L74)*(B74:B1072="silver hoops")*(D74:D1072)*(E74:E1072)) / SUMIFS(E74:E1072, A74:A1072, $L74, B74:B1072, "silver hoops")</f>
        <v>#DIV/0!</v>
      </c>
      <c r="Q74" s="7" cm="1">
        <f t="array" ref="Q74">SUMPRODUCT((A74:A1072=$L74)*(B74:B1072="sterling silver hoop earrings")*(D74:D1072)*(E74:E1072)) / SUMIFS(E74:E1072, A74:A1072, $L74, B74:B1072, "sterling silver hoop earrings")</f>
        <v>0</v>
      </c>
      <c r="R74" s="7" t="e" cm="1">
        <f t="array" ref="R74">SUMPRODUCT((A74:A1072=$L74)*(B74:B1072="silver hoop earrings")*(D74:D1072)*(E74:E1072)) / SUMIFS(E74:E1072, A74:A1072, $L74, B74:B1072, "silver hoop earrings")</f>
        <v>#DIV/0!</v>
      </c>
      <c r="S74" s="7" cm="1">
        <f t="array" ref="S74">SUMPRODUCT((A74:A1072=$L74)*(B74:B1072="925 sterling silver earrings")*(D74:D1072)*(E74:E1072)) / SUMIFS(E74:E1072, A74:A1072, $L74, B74:B1072, "925 sterling silver earrings")</f>
        <v>0</v>
      </c>
      <c r="T74" s="7" t="e" cm="1">
        <f t="array" ref="T74">SUMPRODUCT((A74:A1072=$L74)*(B74:B1072="hoops")*(D74:D1072)*(E74:E1072)) / SUMIFS(E74:E1072, A74:A1072, $L74, B74:B1072, "hoops")</f>
        <v>#DIV/0!</v>
      </c>
      <c r="U74" s="7" t="e" cm="1">
        <f t="array" ref="U74">SUMPRODUCT((A74:A1072=$L74)*(B74:B1072="hoops earrings for women")*(D74:D1072)*(E74:E1072)) / SUMIFS(E74:E1072, A74:A1072, $L74, B74:B1072, "hoops earrings for women")</f>
        <v>#DIV/0!</v>
      </c>
      <c r="V74" s="7" t="e" cm="1">
        <f t="array" ref="V74">SUMPRODUCT((A74:A1072=$L74)*(B74:B1072="silver hoops earrings for women")*(D74:D1072)*(E74:E1072)) / SUMIFS(E74:E1072, A74:A1072, $L74, B74:B1072, "silver hoops earrings for women")</f>
        <v>#DIV/0!</v>
      </c>
    </row>
    <row r="75" spans="1:22" x14ac:dyDescent="0.2">
      <c r="A75">
        <v>20250131</v>
      </c>
      <c r="B75" t="s">
        <v>7</v>
      </c>
      <c r="C75" t="s">
        <v>8</v>
      </c>
      <c r="D75">
        <v>3</v>
      </c>
      <c r="E75">
        <v>92</v>
      </c>
      <c r="F75">
        <v>0</v>
      </c>
      <c r="G75">
        <v>0</v>
      </c>
      <c r="H75" s="1">
        <f t="shared" si="3"/>
        <v>45688</v>
      </c>
      <c r="I75">
        <f t="shared" si="4"/>
        <v>5</v>
      </c>
      <c r="L75" s="9" t="s">
        <v>116</v>
      </c>
      <c r="M75" cm="1">
        <f t="array" ref="M75">SUMPRODUCT((A75:A1073=$L75)*(B75:B1073="sterling silver earrings")*(D75:D1073)*(E75:E1073)) / SUMIFS(E75:E1073, A75:A1073, $L75, B75:B1073, "sterling silver earrings")</f>
        <v>0</v>
      </c>
      <c r="N75" s="7" t="e" cm="1">
        <f t="array" ref="N75">SUMPRODUCT((A75:A1073=$L75)*(B75:B1073="silver hoop earrings for women")*(D75:D1073)*(E75:E1073)) / SUMIFS(E75:E1073, A75:A1073, $L75, B75:B1073, "silver hoop earrings for women")</f>
        <v>#DIV/0!</v>
      </c>
      <c r="O75" s="7" t="e" cm="1">
        <f t="array" ref="O75">SUMPRODUCT((A75:A1073=$L75)*(B75:B1073="hoop earrings")*(D75:D1073)*(E75:E1073)) / SUMIFS(E75:E1073, A75:A1073, $L75, B75:B1073, "hoop earrings")</f>
        <v>#DIV/0!</v>
      </c>
      <c r="P75" s="7" t="e" cm="1">
        <f t="array" ref="P75">SUMPRODUCT((A75:A1073=$L75)*(B75:B1073="silver hoops")*(D75:D1073)*(E75:E1073)) / SUMIFS(E75:E1073, A75:A1073, $L75, B75:B1073, "silver hoops")</f>
        <v>#DIV/0!</v>
      </c>
      <c r="Q75" s="7" cm="1">
        <f t="array" ref="Q75">SUMPRODUCT((A75:A1073=$L75)*(B75:B1073="sterling silver hoop earrings")*(D75:D1073)*(E75:E1073)) / SUMIFS(E75:E1073, A75:A1073, $L75, B75:B1073, "sterling silver hoop earrings")</f>
        <v>0</v>
      </c>
      <c r="R75" s="7" cm="1">
        <f t="array" ref="R75">SUMPRODUCT((A75:A1073=$L75)*(B75:B1073="silver hoop earrings")*(D75:D1073)*(E75:E1073)) / SUMIFS(E75:E1073, A75:A1073, $L75, B75:B1073, "silver hoop earrings")</f>
        <v>0</v>
      </c>
      <c r="S75" s="7" t="e" cm="1">
        <f t="array" ref="S75">SUMPRODUCT((A75:A1073=$L75)*(B75:B1073="925 sterling silver earrings")*(D75:D1073)*(E75:E1073)) / SUMIFS(E75:E1073, A75:A1073, $L75, B75:B1073, "925 sterling silver earrings")</f>
        <v>#DIV/0!</v>
      </c>
      <c r="T75" s="7" t="e" cm="1">
        <f t="array" ref="T75">SUMPRODUCT((A75:A1073=$L75)*(B75:B1073="hoops")*(D75:D1073)*(E75:E1073)) / SUMIFS(E75:E1073, A75:A1073, $L75, B75:B1073, "hoops")</f>
        <v>#DIV/0!</v>
      </c>
      <c r="U75" s="7" t="e" cm="1">
        <f t="array" ref="U75">SUMPRODUCT((A75:A1073=$L75)*(B75:B1073="hoops earrings for women")*(D75:D1073)*(E75:E1073)) / SUMIFS(E75:E1073, A75:A1073, $L75, B75:B1073, "hoops earrings for women")</f>
        <v>#DIV/0!</v>
      </c>
      <c r="V75" s="7" t="e" cm="1">
        <f t="array" ref="V75">SUMPRODUCT((A75:A1073=$L75)*(B75:B1073="silver hoops earrings for women")*(D75:D1073)*(E75:E1073)) / SUMIFS(E75:E1073, A75:A1073, $L75, B75:B1073, "silver hoops earrings for women")</f>
        <v>#DIV/0!</v>
      </c>
    </row>
    <row r="76" spans="1:22" x14ac:dyDescent="0.2">
      <c r="A76">
        <v>20250131</v>
      </c>
      <c r="B76" t="s">
        <v>10</v>
      </c>
      <c r="C76" t="s">
        <v>8</v>
      </c>
      <c r="D76">
        <v>1</v>
      </c>
      <c r="E76">
        <v>40</v>
      </c>
      <c r="F76">
        <v>0</v>
      </c>
      <c r="G76">
        <v>0</v>
      </c>
      <c r="H76" s="1">
        <f t="shared" si="3"/>
        <v>45688</v>
      </c>
      <c r="I76">
        <f t="shared" si="4"/>
        <v>5</v>
      </c>
      <c r="L76" s="9" t="s">
        <v>117</v>
      </c>
      <c r="M76" cm="1">
        <f t="array" ref="M76">SUMPRODUCT((A76:A1074=$L76)*(B76:B1074="sterling silver earrings")*(D76:D1074)*(E76:E1074)) / SUMIFS(E76:E1074, A76:A1074, $L76, B76:B1074, "sterling silver earrings")</f>
        <v>0</v>
      </c>
      <c r="N76" s="7" cm="1">
        <f t="array" ref="N76">SUMPRODUCT((A76:A1074=$L76)*(B76:B1074="silver hoop earrings for women")*(D76:D1074)*(E76:E1074)) / SUMIFS(E76:E1074, A76:A1074, $L76, B76:B1074, "silver hoop earrings for women")</f>
        <v>0</v>
      </c>
      <c r="O76" s="7" t="e" cm="1">
        <f t="array" ref="O76">SUMPRODUCT((A76:A1074=$L76)*(B76:B1074="hoop earrings")*(D76:D1074)*(E76:E1074)) / SUMIFS(E76:E1074, A76:A1074, $L76, B76:B1074, "hoop earrings")</f>
        <v>#DIV/0!</v>
      </c>
      <c r="P76" s="7" cm="1">
        <f t="array" ref="P76">SUMPRODUCT((A76:A1074=$L76)*(B76:B1074="silver hoops")*(D76:D1074)*(E76:E1074)) / SUMIFS(E76:E1074, A76:A1074, $L76, B76:B1074, "silver hoops")</f>
        <v>0</v>
      </c>
      <c r="Q76" s="7" cm="1">
        <f t="array" ref="Q76">SUMPRODUCT((A76:A1074=$L76)*(B76:B1074="sterling silver hoop earrings")*(D76:D1074)*(E76:E1074)) / SUMIFS(E76:E1074, A76:A1074, $L76, B76:B1074, "sterling silver hoop earrings")</f>
        <v>0</v>
      </c>
      <c r="R76" s="7" t="e" cm="1">
        <f t="array" ref="R76">SUMPRODUCT((A76:A1074=$L76)*(B76:B1074="silver hoop earrings")*(D76:D1074)*(E76:E1074)) / SUMIFS(E76:E1074, A76:A1074, $L76, B76:B1074, "silver hoop earrings")</f>
        <v>#DIV/0!</v>
      </c>
      <c r="S76" s="7" t="e" cm="1">
        <f t="array" ref="S76">SUMPRODUCT((A76:A1074=$L76)*(B76:B1074="925 sterling silver earrings")*(D76:D1074)*(E76:E1074)) / SUMIFS(E76:E1074, A76:A1074, $L76, B76:B1074, "925 sterling silver earrings")</f>
        <v>#DIV/0!</v>
      </c>
      <c r="T76" s="7" t="e" cm="1">
        <f t="array" ref="T76">SUMPRODUCT((A76:A1074=$L76)*(B76:B1074="hoops")*(D76:D1074)*(E76:E1074)) / SUMIFS(E76:E1074, A76:A1074, $L76, B76:B1074, "hoops")</f>
        <v>#DIV/0!</v>
      </c>
      <c r="U76" s="7" t="e" cm="1">
        <f t="array" ref="U76">SUMPRODUCT((A76:A1074=$L76)*(B76:B1074="hoops earrings for women")*(D76:D1074)*(E76:E1074)) / SUMIFS(E76:E1074, A76:A1074, $L76, B76:B1074, "hoops earrings for women")</f>
        <v>#DIV/0!</v>
      </c>
      <c r="V76" s="7" t="e" cm="1">
        <f t="array" ref="V76">SUMPRODUCT((A76:A1074=$L76)*(B76:B1074="silver hoops earrings for women")*(D76:D1074)*(E76:E1074)) / SUMIFS(E76:E1074, A76:A1074, $L76, B76:B1074, "silver hoops earrings for women")</f>
        <v>#DIV/0!</v>
      </c>
    </row>
    <row r="77" spans="1:22" x14ac:dyDescent="0.2">
      <c r="A77">
        <v>20250201</v>
      </c>
      <c r="B77" t="s">
        <v>19</v>
      </c>
      <c r="C77" t="s">
        <v>8</v>
      </c>
      <c r="D77">
        <v>1</v>
      </c>
      <c r="E77">
        <v>15</v>
      </c>
      <c r="F77">
        <v>0</v>
      </c>
      <c r="G77">
        <v>0</v>
      </c>
      <c r="H77" s="1">
        <f t="shared" si="3"/>
        <v>45689</v>
      </c>
      <c r="I77">
        <f t="shared" si="4"/>
        <v>5</v>
      </c>
      <c r="L77" s="9" t="s">
        <v>118</v>
      </c>
      <c r="M77" t="e" cm="1">
        <f t="array" ref="M77">SUMPRODUCT((A77:A1075=$L77)*(B77:B1075="sterling silver earrings")*(D77:D1075)*(E77:E1075)) / SUMIFS(E77:E1075, A77:A1075, $L77, B77:B1075, "sterling silver earrings")</f>
        <v>#DIV/0!</v>
      </c>
      <c r="N77" s="7" t="e" cm="1">
        <f t="array" ref="N77">SUMPRODUCT((A77:A1075=$L77)*(B77:B1075="silver hoop earrings for women")*(D77:D1075)*(E77:E1075)) / SUMIFS(E77:E1075, A77:A1075, $L77, B77:B1075, "silver hoop earrings for women")</f>
        <v>#DIV/0!</v>
      </c>
      <c r="O77" s="7" t="e" cm="1">
        <f t="array" ref="O77">SUMPRODUCT((A77:A1075=$L77)*(B77:B1075="hoop earrings")*(D77:D1075)*(E77:E1075)) / SUMIFS(E77:E1075, A77:A1075, $L77, B77:B1075, "hoop earrings")</f>
        <v>#DIV/0!</v>
      </c>
      <c r="P77" s="7" t="e" cm="1">
        <f t="array" ref="P77">SUMPRODUCT((A77:A1075=$L77)*(B77:B1075="silver hoops")*(D77:D1075)*(E77:E1075)) / SUMIFS(E77:E1075, A77:A1075, $L77, B77:B1075, "silver hoops")</f>
        <v>#DIV/0!</v>
      </c>
      <c r="Q77" s="7" t="e" cm="1">
        <f t="array" ref="Q77">SUMPRODUCT((A77:A1075=$L77)*(B77:B1075="sterling silver hoop earrings")*(D77:D1075)*(E77:E1075)) / SUMIFS(E77:E1075, A77:A1075, $L77, B77:B1075, "sterling silver hoop earrings")</f>
        <v>#DIV/0!</v>
      </c>
      <c r="R77" s="7" cm="1">
        <f t="array" ref="R77">SUMPRODUCT((A77:A1075=$L77)*(B77:B1075="silver hoop earrings")*(D77:D1075)*(E77:E1075)) / SUMIFS(E77:E1075, A77:A1075, $L77, B77:B1075, "silver hoop earrings")</f>
        <v>0</v>
      </c>
      <c r="S77" s="7" t="e" cm="1">
        <f t="array" ref="S77">SUMPRODUCT((A77:A1075=$L77)*(B77:B1075="925 sterling silver earrings")*(D77:D1075)*(E77:E1075)) / SUMIFS(E77:E1075, A77:A1075, $L77, B77:B1075, "925 sterling silver earrings")</f>
        <v>#DIV/0!</v>
      </c>
      <c r="T77" s="7" t="e" cm="1">
        <f t="array" ref="T77">SUMPRODUCT((A77:A1075=$L77)*(B77:B1075="hoops")*(D77:D1075)*(E77:E1075)) / SUMIFS(E77:E1075, A77:A1075, $L77, B77:B1075, "hoops")</f>
        <v>#DIV/0!</v>
      </c>
      <c r="U77" s="7" t="e" cm="1">
        <f t="array" ref="U77">SUMPRODUCT((A77:A1075=$L77)*(B77:B1075="hoops earrings for women")*(D77:D1075)*(E77:E1075)) / SUMIFS(E77:E1075, A77:A1075, $L77, B77:B1075, "hoops earrings for women")</f>
        <v>#DIV/0!</v>
      </c>
      <c r="V77" s="7" t="e" cm="1">
        <f t="array" ref="V77">SUMPRODUCT((A77:A1075=$L77)*(B77:B1075="silver hoops earrings for women")*(D77:D1075)*(E77:E1075)) / SUMIFS(E77:E1075, A77:A1075, $L77, B77:B1075, "silver hoops earrings for women")</f>
        <v>#DIV/0!</v>
      </c>
    </row>
    <row r="78" spans="1:22" x14ac:dyDescent="0.2">
      <c r="A78">
        <v>20250201</v>
      </c>
      <c r="B78" t="s">
        <v>7</v>
      </c>
      <c r="C78" t="s">
        <v>8</v>
      </c>
      <c r="D78">
        <v>13</v>
      </c>
      <c r="E78">
        <v>45.230769230769198</v>
      </c>
      <c r="F78">
        <v>0</v>
      </c>
      <c r="G78">
        <v>0</v>
      </c>
      <c r="H78" s="1">
        <f t="shared" si="3"/>
        <v>45689</v>
      </c>
      <c r="I78">
        <f t="shared" si="4"/>
        <v>5</v>
      </c>
      <c r="L78" s="9" t="s">
        <v>119</v>
      </c>
      <c r="M78" cm="1">
        <f t="array" ref="M78">SUMPRODUCT((A78:A1076=$L78)*(B78:B1076="sterling silver earrings")*(D78:D1076)*(E78:E1076)) / SUMIFS(E78:E1076, A78:A1076, $L78, B78:B1076, "sterling silver earrings")</f>
        <v>0</v>
      </c>
      <c r="N78" s="7" cm="1">
        <f t="array" ref="N78">SUMPRODUCT((A78:A1076=$L78)*(B78:B1076="silver hoop earrings for women")*(D78:D1076)*(E78:E1076)) / SUMIFS(E78:E1076, A78:A1076, $L78, B78:B1076, "silver hoop earrings for women")</f>
        <v>0</v>
      </c>
      <c r="O78" s="7" t="e" cm="1">
        <f t="array" ref="O78">SUMPRODUCT((A78:A1076=$L78)*(B78:B1076="hoop earrings")*(D78:D1076)*(E78:E1076)) / SUMIFS(E78:E1076, A78:A1076, $L78, B78:B1076, "hoop earrings")</f>
        <v>#DIV/0!</v>
      </c>
      <c r="P78" s="7" t="e" cm="1">
        <f t="array" ref="P78">SUMPRODUCT((A78:A1076=$L78)*(B78:B1076="silver hoops")*(D78:D1076)*(E78:E1076)) / SUMIFS(E78:E1076, A78:A1076, $L78, B78:B1076, "silver hoops")</f>
        <v>#DIV/0!</v>
      </c>
      <c r="Q78" s="7" cm="1">
        <f t="array" ref="Q78">SUMPRODUCT((A78:A1076=$L78)*(B78:B1076="sterling silver hoop earrings")*(D78:D1076)*(E78:E1076)) / SUMIFS(E78:E1076, A78:A1076, $L78, B78:B1076, "sterling silver hoop earrings")</f>
        <v>0</v>
      </c>
      <c r="R78" s="7" t="e" cm="1">
        <f t="array" ref="R78">SUMPRODUCT((A78:A1076=$L78)*(B78:B1076="silver hoop earrings")*(D78:D1076)*(E78:E1076)) / SUMIFS(E78:E1076, A78:A1076, $L78, B78:B1076, "silver hoop earrings")</f>
        <v>#DIV/0!</v>
      </c>
      <c r="S78" s="7" cm="1">
        <f t="array" ref="S78">SUMPRODUCT((A78:A1076=$L78)*(B78:B1076="925 sterling silver earrings")*(D78:D1076)*(E78:E1076)) / SUMIFS(E78:E1076, A78:A1076, $L78, B78:B1076, "925 sterling silver earrings")</f>
        <v>0</v>
      </c>
      <c r="T78" s="7" t="e" cm="1">
        <f t="array" ref="T78">SUMPRODUCT((A78:A1076=$L78)*(B78:B1076="hoops")*(D78:D1076)*(E78:E1076)) / SUMIFS(E78:E1076, A78:A1076, $L78, B78:B1076, "hoops")</f>
        <v>#DIV/0!</v>
      </c>
      <c r="U78" s="7" t="e" cm="1">
        <f t="array" ref="U78">SUMPRODUCT((A78:A1076=$L78)*(B78:B1076="hoops earrings for women")*(D78:D1076)*(E78:E1076)) / SUMIFS(E78:E1076, A78:A1076, $L78, B78:B1076, "hoops earrings for women")</f>
        <v>#DIV/0!</v>
      </c>
      <c r="V78" s="7" t="e" cm="1">
        <f t="array" ref="V78">SUMPRODUCT((A78:A1076=$L78)*(B78:B1076="silver hoops earrings for women")*(D78:D1076)*(E78:E1076)) / SUMIFS(E78:E1076, A78:A1076, $L78, B78:B1076, "silver hoops earrings for women")</f>
        <v>#DIV/0!</v>
      </c>
    </row>
    <row r="79" spans="1:22" x14ac:dyDescent="0.2">
      <c r="A79">
        <v>20250201</v>
      </c>
      <c r="B79" t="s">
        <v>10</v>
      </c>
      <c r="C79" t="s">
        <v>8</v>
      </c>
      <c r="D79">
        <v>1</v>
      </c>
      <c r="E79">
        <v>2</v>
      </c>
      <c r="F79">
        <v>0</v>
      </c>
      <c r="G79">
        <v>0</v>
      </c>
      <c r="H79" s="1">
        <f t="shared" si="3"/>
        <v>45689</v>
      </c>
      <c r="I79">
        <f t="shared" si="4"/>
        <v>5</v>
      </c>
      <c r="L79" s="9" t="s">
        <v>120</v>
      </c>
      <c r="M79" t="e" cm="1">
        <f t="array" ref="M79">SUMPRODUCT((A79:A1077=$L79)*(B79:B1077="sterling silver earrings")*(D79:D1077)*(E79:E1077)) / SUMIFS(E79:E1077, A79:A1077, $L79, B79:B1077, "sterling silver earrings")</f>
        <v>#DIV/0!</v>
      </c>
      <c r="N79" s="7" cm="1">
        <f t="array" ref="N79">SUMPRODUCT((A79:A1077=$L79)*(B79:B1077="silver hoop earrings for women")*(D79:D1077)*(E79:E1077)) / SUMIFS(E79:E1077, A79:A1077, $L79, B79:B1077, "silver hoop earrings for women")</f>
        <v>0</v>
      </c>
      <c r="O79" s="7" cm="1">
        <f t="array" ref="O79">SUMPRODUCT((A79:A1077=$L79)*(B79:B1077="hoop earrings")*(D79:D1077)*(E79:E1077)) / SUMIFS(E79:E1077, A79:A1077, $L79, B79:B1077, "hoop earrings")</f>
        <v>0</v>
      </c>
      <c r="P79" s="7" t="e" cm="1">
        <f t="array" ref="P79">SUMPRODUCT((A79:A1077=$L79)*(B79:B1077="silver hoops")*(D79:D1077)*(E79:E1077)) / SUMIFS(E79:E1077, A79:A1077, $L79, B79:B1077, "silver hoops")</f>
        <v>#DIV/0!</v>
      </c>
      <c r="Q79" s="7" t="e" cm="1">
        <f t="array" ref="Q79">SUMPRODUCT((A79:A1077=$L79)*(B79:B1077="sterling silver hoop earrings")*(D79:D1077)*(E79:E1077)) / SUMIFS(E79:E1077, A79:A1077, $L79, B79:B1077, "sterling silver hoop earrings")</f>
        <v>#DIV/0!</v>
      </c>
      <c r="R79" s="7" t="e" cm="1">
        <f t="array" ref="R79">SUMPRODUCT((A79:A1077=$L79)*(B79:B1077="silver hoop earrings")*(D79:D1077)*(E79:E1077)) / SUMIFS(E79:E1077, A79:A1077, $L79, B79:B1077, "silver hoop earrings")</f>
        <v>#DIV/0!</v>
      </c>
      <c r="S79" s="7" cm="1">
        <f t="array" ref="S79">SUMPRODUCT((A79:A1077=$L79)*(B79:B1077="925 sterling silver earrings")*(D79:D1077)*(E79:E1077)) / SUMIFS(E79:E1077, A79:A1077, $L79, B79:B1077, "925 sterling silver earrings")</f>
        <v>0</v>
      </c>
      <c r="T79" s="7" t="e" cm="1">
        <f t="array" ref="T79">SUMPRODUCT((A79:A1077=$L79)*(B79:B1077="hoops")*(D79:D1077)*(E79:E1077)) / SUMIFS(E79:E1077, A79:A1077, $L79, B79:B1077, "hoops")</f>
        <v>#DIV/0!</v>
      </c>
      <c r="U79" s="7" t="e" cm="1">
        <f t="array" ref="U79">SUMPRODUCT((A79:A1077=$L79)*(B79:B1077="hoops earrings for women")*(D79:D1077)*(E79:E1077)) / SUMIFS(E79:E1077, A79:A1077, $L79, B79:B1077, "hoops earrings for women")</f>
        <v>#DIV/0!</v>
      </c>
      <c r="V79" s="7" t="e" cm="1">
        <f t="array" ref="V79">SUMPRODUCT((A79:A1077=$L79)*(B79:B1077="silver hoops earrings for women")*(D79:D1077)*(E79:E1077)) / SUMIFS(E79:E1077, A79:A1077, $L79, B79:B1077, "silver hoops earrings for women")</f>
        <v>#DIV/0!</v>
      </c>
    </row>
    <row r="80" spans="1:22" x14ac:dyDescent="0.2">
      <c r="A80">
        <v>20250201</v>
      </c>
      <c r="B80" t="s">
        <v>10</v>
      </c>
      <c r="C80" t="s">
        <v>24</v>
      </c>
      <c r="D80">
        <v>1</v>
      </c>
      <c r="E80">
        <v>25</v>
      </c>
      <c r="F80">
        <v>0</v>
      </c>
      <c r="G80">
        <v>0</v>
      </c>
      <c r="H80" s="1">
        <f t="shared" si="3"/>
        <v>45689</v>
      </c>
      <c r="I80">
        <f t="shared" si="4"/>
        <v>5</v>
      </c>
      <c r="L80" s="9" t="s">
        <v>121</v>
      </c>
      <c r="M80" t="e" cm="1">
        <f t="array" ref="M80">SUMPRODUCT((A80:A1078=$L80)*(B80:B1078="sterling silver earrings")*(D80:D1078)*(E80:E1078)) / SUMIFS(E80:E1078, A80:A1078, $L80, B80:B1078, "sterling silver earrings")</f>
        <v>#DIV/0!</v>
      </c>
      <c r="N80" s="7" t="e" cm="1">
        <f t="array" ref="N80">SUMPRODUCT((A80:A1078=$L80)*(B80:B1078="silver hoop earrings for women")*(D80:D1078)*(E80:E1078)) / SUMIFS(E80:E1078, A80:A1078, $L80, B80:B1078, "silver hoop earrings for women")</f>
        <v>#DIV/0!</v>
      </c>
      <c r="O80" s="7" t="e" cm="1">
        <f t="array" ref="O80">SUMPRODUCT((A80:A1078=$L80)*(B80:B1078="hoop earrings")*(D80:D1078)*(E80:E1078)) / SUMIFS(E80:E1078, A80:A1078, $L80, B80:B1078, "hoop earrings")</f>
        <v>#DIV/0!</v>
      </c>
      <c r="P80" s="7" t="e" cm="1">
        <f t="array" ref="P80">SUMPRODUCT((A80:A1078=$L80)*(B80:B1078="silver hoops")*(D80:D1078)*(E80:E1078)) / SUMIFS(E80:E1078, A80:A1078, $L80, B80:B1078, "silver hoops")</f>
        <v>#DIV/0!</v>
      </c>
      <c r="Q80" s="7" cm="1">
        <f t="array" ref="Q80">SUMPRODUCT((A80:A1078=$L80)*(B80:B1078="sterling silver hoop earrings")*(D80:D1078)*(E80:E1078)) / SUMIFS(E80:E1078, A80:A1078, $L80, B80:B1078, "sterling silver hoop earrings")</f>
        <v>0</v>
      </c>
      <c r="R80" s="7" t="e" cm="1">
        <f t="array" ref="R80">SUMPRODUCT((A80:A1078=$L80)*(B80:B1078="silver hoop earrings")*(D80:D1078)*(E80:E1078)) / SUMIFS(E80:E1078, A80:A1078, $L80, B80:B1078, "silver hoop earrings")</f>
        <v>#DIV/0!</v>
      </c>
      <c r="S80" s="7" t="e" cm="1">
        <f t="array" ref="S80">SUMPRODUCT((A80:A1078=$L80)*(B80:B1078="925 sterling silver earrings")*(D80:D1078)*(E80:E1078)) / SUMIFS(E80:E1078, A80:A1078, $L80, B80:B1078, "925 sterling silver earrings")</f>
        <v>#DIV/0!</v>
      </c>
      <c r="T80" s="7" t="e" cm="1">
        <f t="array" ref="T80">SUMPRODUCT((A80:A1078=$L80)*(B80:B1078="hoops")*(D80:D1078)*(E80:E1078)) / SUMIFS(E80:E1078, A80:A1078, $L80, B80:B1078, "hoops")</f>
        <v>#DIV/0!</v>
      </c>
      <c r="U80" s="7" t="e" cm="1">
        <f t="array" ref="U80">SUMPRODUCT((A80:A1078=$L80)*(B80:B1078="hoops earrings for women")*(D80:D1078)*(E80:E1078)) / SUMIFS(E80:E1078, A80:A1078, $L80, B80:B1078, "hoops earrings for women")</f>
        <v>#DIV/0!</v>
      </c>
      <c r="V80" s="7" t="e" cm="1">
        <f t="array" ref="V80">SUMPRODUCT((A80:A1078=$L80)*(B80:B1078="silver hoops earrings for women")*(D80:D1078)*(E80:E1078)) / SUMIFS(E80:E1078, A80:A1078, $L80, B80:B1078, "silver hoops earrings for women")</f>
        <v>#DIV/0!</v>
      </c>
    </row>
    <row r="81" spans="1:22" x14ac:dyDescent="0.2">
      <c r="A81">
        <v>20250202</v>
      </c>
      <c r="B81" t="s">
        <v>16</v>
      </c>
      <c r="C81" t="s">
        <v>15</v>
      </c>
      <c r="D81">
        <v>1</v>
      </c>
      <c r="E81">
        <v>2</v>
      </c>
      <c r="F81">
        <v>0</v>
      </c>
      <c r="G81">
        <v>0</v>
      </c>
      <c r="H81" s="1">
        <f t="shared" si="3"/>
        <v>45690</v>
      </c>
      <c r="I81">
        <f t="shared" si="4"/>
        <v>6</v>
      </c>
      <c r="L81" s="9" t="s">
        <v>122</v>
      </c>
      <c r="M81" t="e" cm="1">
        <f t="array" ref="M81">SUMPRODUCT((A81:A1079=$L81)*(B81:B1079="sterling silver earrings")*(D81:D1079)*(E81:E1079)) / SUMIFS(E81:E1079, A81:A1079, $L81, B81:B1079, "sterling silver earrings")</f>
        <v>#DIV/0!</v>
      </c>
      <c r="N81" s="7" t="e" cm="1">
        <f t="array" ref="N81">SUMPRODUCT((A81:A1079=$L81)*(B81:B1079="silver hoop earrings for women")*(D81:D1079)*(E81:E1079)) / SUMIFS(E81:E1079, A81:A1079, $L81, B81:B1079, "silver hoop earrings for women")</f>
        <v>#DIV/0!</v>
      </c>
      <c r="O81" s="7" t="e" cm="1">
        <f t="array" ref="O81">SUMPRODUCT((A81:A1079=$L81)*(B81:B1079="hoop earrings")*(D81:D1079)*(E81:E1079)) / SUMIFS(E81:E1079, A81:A1079, $L81, B81:B1079, "hoop earrings")</f>
        <v>#DIV/0!</v>
      </c>
      <c r="P81" s="7" t="e" cm="1">
        <f t="array" ref="P81">SUMPRODUCT((A81:A1079=$L81)*(B81:B1079="silver hoops")*(D81:D1079)*(E81:E1079)) / SUMIFS(E81:E1079, A81:A1079, $L81, B81:B1079, "silver hoops")</f>
        <v>#DIV/0!</v>
      </c>
      <c r="Q81" s="7" cm="1">
        <f t="array" ref="Q81">SUMPRODUCT((A81:A1079=$L81)*(B81:B1079="sterling silver hoop earrings")*(D81:D1079)*(E81:E1079)) / SUMIFS(E81:E1079, A81:A1079, $L81, B81:B1079, "sterling silver hoop earrings")</f>
        <v>0</v>
      </c>
      <c r="R81" s="7" t="e" cm="1">
        <f t="array" ref="R81">SUMPRODUCT((A81:A1079=$L81)*(B81:B1079="silver hoop earrings")*(D81:D1079)*(E81:E1079)) / SUMIFS(E81:E1079, A81:A1079, $L81, B81:B1079, "silver hoop earrings")</f>
        <v>#DIV/0!</v>
      </c>
      <c r="S81" s="7" t="e" cm="1">
        <f t="array" ref="S81">SUMPRODUCT((A81:A1079=$L81)*(B81:B1079="925 sterling silver earrings")*(D81:D1079)*(E81:E1079)) / SUMIFS(E81:E1079, A81:A1079, $L81, B81:B1079, "925 sterling silver earrings")</f>
        <v>#DIV/0!</v>
      </c>
      <c r="T81" s="7" t="e" cm="1">
        <f t="array" ref="T81">SUMPRODUCT((A81:A1079=$L81)*(B81:B1079="hoops")*(D81:D1079)*(E81:E1079)) / SUMIFS(E81:E1079, A81:A1079, $L81, B81:B1079, "hoops")</f>
        <v>#DIV/0!</v>
      </c>
      <c r="U81" s="7" t="e" cm="1">
        <f t="array" ref="U81">SUMPRODUCT((A81:A1079=$L81)*(B81:B1079="hoops earrings for women")*(D81:D1079)*(E81:E1079)) / SUMIFS(E81:E1079, A81:A1079, $L81, B81:B1079, "hoops earrings for women")</f>
        <v>#DIV/0!</v>
      </c>
      <c r="V81" s="7" t="e" cm="1">
        <f t="array" ref="V81">SUMPRODUCT((A81:A1079=$L81)*(B81:B1079="silver hoops earrings for women")*(D81:D1079)*(E81:E1079)) / SUMIFS(E81:E1079, A81:A1079, $L81, B81:B1079, "silver hoops earrings for women")</f>
        <v>#DIV/0!</v>
      </c>
    </row>
    <row r="82" spans="1:22" x14ac:dyDescent="0.2">
      <c r="A82">
        <v>20250202</v>
      </c>
      <c r="B82" t="s">
        <v>16</v>
      </c>
      <c r="C82" t="s">
        <v>8</v>
      </c>
      <c r="D82">
        <v>1</v>
      </c>
      <c r="E82">
        <v>32</v>
      </c>
      <c r="F82">
        <v>0</v>
      </c>
      <c r="G82">
        <v>0</v>
      </c>
      <c r="H82" s="1">
        <f t="shared" si="3"/>
        <v>45690</v>
      </c>
      <c r="I82">
        <f t="shared" si="4"/>
        <v>6</v>
      </c>
      <c r="L82" s="9" t="s">
        <v>123</v>
      </c>
      <c r="M82" t="e" cm="1">
        <f t="array" ref="M82">SUMPRODUCT((A82:A1080=$L82)*(B82:B1080="sterling silver earrings")*(D82:D1080)*(E82:E1080)) / SUMIFS(E82:E1080, A82:A1080, $L82, B82:B1080, "sterling silver earrings")</f>
        <v>#DIV/0!</v>
      </c>
      <c r="N82" s="7" cm="1">
        <f t="array" ref="N82">SUMPRODUCT((A82:A1080=$L82)*(B82:B1080="silver hoop earrings for women")*(D82:D1080)*(E82:E1080)) / SUMIFS(E82:E1080, A82:A1080, $L82, B82:B1080, "silver hoop earrings for women")</f>
        <v>0</v>
      </c>
      <c r="O82" s="7" t="e" cm="1">
        <f t="array" ref="O82">SUMPRODUCT((A82:A1080=$L82)*(B82:B1080="hoop earrings")*(D82:D1080)*(E82:E1080)) / SUMIFS(E82:E1080, A82:A1080, $L82, B82:B1080, "hoop earrings")</f>
        <v>#DIV/0!</v>
      </c>
      <c r="P82" s="7" cm="1">
        <f t="array" ref="P82">SUMPRODUCT((A82:A1080=$L82)*(B82:B1080="silver hoops")*(D82:D1080)*(E82:E1080)) / SUMIFS(E82:E1080, A82:A1080, $L82, B82:B1080, "silver hoops")</f>
        <v>0</v>
      </c>
      <c r="Q82" s="7" t="e" cm="1">
        <f t="array" ref="Q82">SUMPRODUCT((A82:A1080=$L82)*(B82:B1080="sterling silver hoop earrings")*(D82:D1080)*(E82:E1080)) / SUMIFS(E82:E1080, A82:A1080, $L82, B82:B1080, "sterling silver hoop earrings")</f>
        <v>#DIV/0!</v>
      </c>
      <c r="R82" s="7" t="e" cm="1">
        <f t="array" ref="R82">SUMPRODUCT((A82:A1080=$L82)*(B82:B1080="silver hoop earrings")*(D82:D1080)*(E82:E1080)) / SUMIFS(E82:E1080, A82:A1080, $L82, B82:B1080, "silver hoop earrings")</f>
        <v>#DIV/0!</v>
      </c>
      <c r="S82" s="7" t="e" cm="1">
        <f t="array" ref="S82">SUMPRODUCT((A82:A1080=$L82)*(B82:B1080="925 sterling silver earrings")*(D82:D1080)*(E82:E1080)) / SUMIFS(E82:E1080, A82:A1080, $L82, B82:B1080, "925 sterling silver earrings")</f>
        <v>#DIV/0!</v>
      </c>
      <c r="T82" s="7" t="e" cm="1">
        <f t="array" ref="T82">SUMPRODUCT((A82:A1080=$L82)*(B82:B1080="hoops")*(D82:D1080)*(E82:E1080)) / SUMIFS(E82:E1080, A82:A1080, $L82, B82:B1080, "hoops")</f>
        <v>#DIV/0!</v>
      </c>
      <c r="U82" s="7" t="e" cm="1">
        <f t="array" ref="U82">SUMPRODUCT((A82:A1080=$L82)*(B82:B1080="hoops earrings for women")*(D82:D1080)*(E82:E1080)) / SUMIFS(E82:E1080, A82:A1080, $L82, B82:B1080, "hoops earrings for women")</f>
        <v>#DIV/0!</v>
      </c>
      <c r="V82" s="7" t="e" cm="1">
        <f t="array" ref="V82">SUMPRODUCT((A82:A1080=$L82)*(B82:B1080="silver hoops earrings for women")*(D82:D1080)*(E82:E1080)) / SUMIFS(E82:E1080, A82:A1080, $L82, B82:B1080, "silver hoops earrings for women")</f>
        <v>#DIV/0!</v>
      </c>
    </row>
    <row r="83" spans="1:22" x14ac:dyDescent="0.2">
      <c r="A83">
        <v>20250202</v>
      </c>
      <c r="B83" t="s">
        <v>7</v>
      </c>
      <c r="C83" t="s">
        <v>8</v>
      </c>
      <c r="D83">
        <v>2</v>
      </c>
      <c r="E83">
        <v>23.5</v>
      </c>
      <c r="F83">
        <v>0</v>
      </c>
      <c r="G83">
        <v>0</v>
      </c>
      <c r="H83" s="1">
        <f t="shared" si="3"/>
        <v>45690</v>
      </c>
      <c r="I83">
        <f t="shared" si="4"/>
        <v>6</v>
      </c>
      <c r="L83" s="9" t="s">
        <v>124</v>
      </c>
      <c r="M83" cm="1">
        <f t="array" ref="M83">SUMPRODUCT((A83:A1081=$L83)*(B83:B1081="sterling silver earrings")*(D83:D1081)*(E83:E1081)) / SUMIFS(E83:E1081, A83:A1081, $L83, B83:B1081, "sterling silver earrings")</f>
        <v>0</v>
      </c>
      <c r="N83" s="7" cm="1">
        <f t="array" ref="N83">SUMPRODUCT((A83:A1081=$L83)*(B83:B1081="silver hoop earrings for women")*(D83:D1081)*(E83:E1081)) / SUMIFS(E83:E1081, A83:A1081, $L83, B83:B1081, "silver hoop earrings for women")</f>
        <v>0</v>
      </c>
      <c r="O83" s="7" t="e" cm="1">
        <f t="array" ref="O83">SUMPRODUCT((A83:A1081=$L83)*(B83:B1081="hoop earrings")*(D83:D1081)*(E83:E1081)) / SUMIFS(E83:E1081, A83:A1081, $L83, B83:B1081, "hoop earrings")</f>
        <v>#DIV/0!</v>
      </c>
      <c r="P83" s="7" t="e" cm="1">
        <f t="array" ref="P83">SUMPRODUCT((A83:A1081=$L83)*(B83:B1081="silver hoops")*(D83:D1081)*(E83:E1081)) / SUMIFS(E83:E1081, A83:A1081, $L83, B83:B1081, "silver hoops")</f>
        <v>#DIV/0!</v>
      </c>
      <c r="Q83" s="7" t="e" cm="1">
        <f t="array" ref="Q83">SUMPRODUCT((A83:A1081=$L83)*(B83:B1081="sterling silver hoop earrings")*(D83:D1081)*(E83:E1081)) / SUMIFS(E83:E1081, A83:A1081, $L83, B83:B1081, "sterling silver hoop earrings")</f>
        <v>#DIV/0!</v>
      </c>
      <c r="R83" s="7" t="e" cm="1">
        <f t="array" ref="R83">SUMPRODUCT((A83:A1081=$L83)*(B83:B1081="silver hoop earrings")*(D83:D1081)*(E83:E1081)) / SUMIFS(E83:E1081, A83:A1081, $L83, B83:B1081, "silver hoop earrings")</f>
        <v>#DIV/0!</v>
      </c>
      <c r="S83" s="7" t="e" cm="1">
        <f t="array" ref="S83">SUMPRODUCT((A83:A1081=$L83)*(B83:B1081="925 sterling silver earrings")*(D83:D1081)*(E83:E1081)) / SUMIFS(E83:E1081, A83:A1081, $L83, B83:B1081, "925 sterling silver earrings")</f>
        <v>#DIV/0!</v>
      </c>
      <c r="T83" s="7" t="e" cm="1">
        <f t="array" ref="T83">SUMPRODUCT((A83:A1081=$L83)*(B83:B1081="hoops")*(D83:D1081)*(E83:E1081)) / SUMIFS(E83:E1081, A83:A1081, $L83, B83:B1081, "hoops")</f>
        <v>#DIV/0!</v>
      </c>
      <c r="U83" s="7" t="e" cm="1">
        <f t="array" ref="U83">SUMPRODUCT((A83:A1081=$L83)*(B83:B1081="hoops earrings for women")*(D83:D1081)*(E83:E1081)) / SUMIFS(E83:E1081, A83:A1081, $L83, B83:B1081, "hoops earrings for women")</f>
        <v>#DIV/0!</v>
      </c>
      <c r="V83" s="7" t="e" cm="1">
        <f t="array" ref="V83">SUMPRODUCT((A83:A1081=$L83)*(B83:B1081="silver hoops earrings for women")*(D83:D1081)*(E83:E1081)) / SUMIFS(E83:E1081, A83:A1081, $L83, B83:B1081, "silver hoops earrings for women")</f>
        <v>#DIV/0!</v>
      </c>
    </row>
    <row r="84" spans="1:22" x14ac:dyDescent="0.2">
      <c r="A84">
        <v>20250203</v>
      </c>
      <c r="B84" t="s">
        <v>12</v>
      </c>
      <c r="C84" t="s">
        <v>8</v>
      </c>
      <c r="D84">
        <v>1</v>
      </c>
      <c r="E84">
        <v>1</v>
      </c>
      <c r="F84">
        <v>0</v>
      </c>
      <c r="G84">
        <v>0</v>
      </c>
      <c r="H84" s="1">
        <f t="shared" si="3"/>
        <v>45691</v>
      </c>
      <c r="I84">
        <f t="shared" si="4"/>
        <v>6</v>
      </c>
      <c r="L84" s="9" t="s">
        <v>125</v>
      </c>
      <c r="M84" cm="1">
        <f t="array" ref="M84">SUMPRODUCT((A84:A1082=$L84)*(B84:B1082="sterling silver earrings")*(D84:D1082)*(E84:E1082)) / SUMIFS(E84:E1082, A84:A1082, $L84, B84:B1082, "sterling silver earrings")</f>
        <v>0</v>
      </c>
      <c r="N84" s="7" t="e" cm="1">
        <f t="array" ref="N84">SUMPRODUCT((A84:A1082=$L84)*(B84:B1082="silver hoop earrings for women")*(D84:D1082)*(E84:E1082)) / SUMIFS(E84:E1082, A84:A1082, $L84, B84:B1082, "silver hoop earrings for women")</f>
        <v>#DIV/0!</v>
      </c>
      <c r="O84" s="7" t="e" cm="1">
        <f t="array" ref="O84">SUMPRODUCT((A84:A1082=$L84)*(B84:B1082="hoop earrings")*(D84:D1082)*(E84:E1082)) / SUMIFS(E84:E1082, A84:A1082, $L84, B84:B1082, "hoop earrings")</f>
        <v>#DIV/0!</v>
      </c>
      <c r="P84" s="7" t="e" cm="1">
        <f t="array" ref="P84">SUMPRODUCT((A84:A1082=$L84)*(B84:B1082="silver hoops")*(D84:D1082)*(E84:E1082)) / SUMIFS(E84:E1082, A84:A1082, $L84, B84:B1082, "silver hoops")</f>
        <v>#DIV/0!</v>
      </c>
      <c r="Q84" s="7" t="e" cm="1">
        <f t="array" ref="Q84">SUMPRODUCT((A84:A1082=$L84)*(B84:B1082="sterling silver hoop earrings")*(D84:D1082)*(E84:E1082)) / SUMIFS(E84:E1082, A84:A1082, $L84, B84:B1082, "sterling silver hoop earrings")</f>
        <v>#DIV/0!</v>
      </c>
      <c r="R84" s="7" t="e" cm="1">
        <f t="array" ref="R84">SUMPRODUCT((A84:A1082=$L84)*(B84:B1082="silver hoop earrings")*(D84:D1082)*(E84:E1082)) / SUMIFS(E84:E1082, A84:A1082, $L84, B84:B1082, "silver hoop earrings")</f>
        <v>#DIV/0!</v>
      </c>
      <c r="S84" s="7" t="e" cm="1">
        <f t="array" ref="S84">SUMPRODUCT((A84:A1082=$L84)*(B84:B1082="925 sterling silver earrings")*(D84:D1082)*(E84:E1082)) / SUMIFS(E84:E1082, A84:A1082, $L84, B84:B1082, "925 sterling silver earrings")</f>
        <v>#DIV/0!</v>
      </c>
      <c r="T84" s="7" t="e" cm="1">
        <f t="array" ref="T84">SUMPRODUCT((A84:A1082=$L84)*(B84:B1082="hoops")*(D84:D1082)*(E84:E1082)) / SUMIFS(E84:E1082, A84:A1082, $L84, B84:B1082, "hoops")</f>
        <v>#DIV/0!</v>
      </c>
      <c r="U84" s="7" t="e" cm="1">
        <f t="array" ref="U84">SUMPRODUCT((A84:A1082=$L84)*(B84:B1082="hoops earrings for women")*(D84:D1082)*(E84:E1082)) / SUMIFS(E84:E1082, A84:A1082, $L84, B84:B1082, "hoops earrings for women")</f>
        <v>#DIV/0!</v>
      </c>
      <c r="V84" s="7" t="e" cm="1">
        <f t="array" ref="V84">SUMPRODUCT((A84:A1082=$L84)*(B84:B1082="silver hoops earrings for women")*(D84:D1082)*(E84:E1082)) / SUMIFS(E84:E1082, A84:A1082, $L84, B84:B1082, "silver hoops earrings for women")</f>
        <v>#DIV/0!</v>
      </c>
    </row>
    <row r="85" spans="1:22" x14ac:dyDescent="0.2">
      <c r="A85">
        <v>20250203</v>
      </c>
      <c r="B85" t="s">
        <v>7</v>
      </c>
      <c r="C85" t="s">
        <v>8</v>
      </c>
      <c r="D85">
        <v>3</v>
      </c>
      <c r="E85">
        <v>17</v>
      </c>
      <c r="F85">
        <v>0</v>
      </c>
      <c r="G85">
        <v>0</v>
      </c>
      <c r="H85" s="1">
        <f t="shared" si="3"/>
        <v>45691</v>
      </c>
      <c r="I85">
        <f t="shared" si="4"/>
        <v>6</v>
      </c>
      <c r="L85" s="9" t="s">
        <v>126</v>
      </c>
      <c r="M85" t="e" cm="1">
        <f t="array" ref="M85">SUMPRODUCT((A85:A1083=$L85)*(B85:B1083="sterling silver earrings")*(D85:D1083)*(E85:E1083)) / SUMIFS(E85:E1083, A85:A1083, $L85, B85:B1083, "sterling silver earrings")</f>
        <v>#DIV/0!</v>
      </c>
      <c r="N85" s="7" cm="1">
        <f t="array" ref="N85">SUMPRODUCT((A85:A1083=$L85)*(B85:B1083="silver hoop earrings for women")*(D85:D1083)*(E85:E1083)) / SUMIFS(E85:E1083, A85:A1083, $L85, B85:B1083, "silver hoop earrings for women")</f>
        <v>0</v>
      </c>
      <c r="O85" s="7" t="e" cm="1">
        <f t="array" ref="O85">SUMPRODUCT((A85:A1083=$L85)*(B85:B1083="hoop earrings")*(D85:D1083)*(E85:E1083)) / SUMIFS(E85:E1083, A85:A1083, $L85, B85:B1083, "hoop earrings")</f>
        <v>#DIV/0!</v>
      </c>
      <c r="P85" s="7" t="e" cm="1">
        <f t="array" ref="P85">SUMPRODUCT((A85:A1083=$L85)*(B85:B1083="silver hoops")*(D85:D1083)*(E85:E1083)) / SUMIFS(E85:E1083, A85:A1083, $L85, B85:B1083, "silver hoops")</f>
        <v>#DIV/0!</v>
      </c>
      <c r="Q85" s="7" cm="1">
        <f t="array" ref="Q85">SUMPRODUCT((A85:A1083=$L85)*(B85:B1083="sterling silver hoop earrings")*(D85:D1083)*(E85:E1083)) / SUMIFS(E85:E1083, A85:A1083, $L85, B85:B1083, "sterling silver hoop earrings")</f>
        <v>0</v>
      </c>
      <c r="R85" s="7" t="e" cm="1">
        <f t="array" ref="R85">SUMPRODUCT((A85:A1083=$L85)*(B85:B1083="silver hoop earrings")*(D85:D1083)*(E85:E1083)) / SUMIFS(E85:E1083, A85:A1083, $L85, B85:B1083, "silver hoop earrings")</f>
        <v>#DIV/0!</v>
      </c>
      <c r="S85" s="7" t="e" cm="1">
        <f t="array" ref="S85">SUMPRODUCT((A85:A1083=$L85)*(B85:B1083="925 sterling silver earrings")*(D85:D1083)*(E85:E1083)) / SUMIFS(E85:E1083, A85:A1083, $L85, B85:B1083, "925 sterling silver earrings")</f>
        <v>#DIV/0!</v>
      </c>
      <c r="T85" s="7" t="e" cm="1">
        <f t="array" ref="T85">SUMPRODUCT((A85:A1083=$L85)*(B85:B1083="hoops")*(D85:D1083)*(E85:E1083)) / SUMIFS(E85:E1083, A85:A1083, $L85, B85:B1083, "hoops")</f>
        <v>#DIV/0!</v>
      </c>
      <c r="U85" s="7" t="e" cm="1">
        <f t="array" ref="U85">SUMPRODUCT((A85:A1083=$L85)*(B85:B1083="hoops earrings for women")*(D85:D1083)*(E85:E1083)) / SUMIFS(E85:E1083, A85:A1083, $L85, B85:B1083, "hoops earrings for women")</f>
        <v>#DIV/0!</v>
      </c>
      <c r="V85" s="7" t="e" cm="1">
        <f t="array" ref="V85">SUMPRODUCT((A85:A1083=$L85)*(B85:B1083="silver hoops earrings for women")*(D85:D1083)*(E85:E1083)) / SUMIFS(E85:E1083, A85:A1083, $L85, B85:B1083, "silver hoops earrings for women")</f>
        <v>#DIV/0!</v>
      </c>
    </row>
    <row r="86" spans="1:22" x14ac:dyDescent="0.2">
      <c r="A86">
        <v>20250204</v>
      </c>
      <c r="B86" t="s">
        <v>19</v>
      </c>
      <c r="C86" t="s">
        <v>8</v>
      </c>
      <c r="D86">
        <v>1</v>
      </c>
      <c r="E86">
        <v>21</v>
      </c>
      <c r="F86">
        <v>0</v>
      </c>
      <c r="G86">
        <v>0</v>
      </c>
      <c r="H86" s="1">
        <f t="shared" si="3"/>
        <v>45692</v>
      </c>
      <c r="I86">
        <f t="shared" si="4"/>
        <v>6</v>
      </c>
      <c r="L86" s="9" t="s">
        <v>127</v>
      </c>
      <c r="M86" t="e" cm="1">
        <f t="array" ref="M86">SUMPRODUCT((A86:A1084=$L86)*(B86:B1084="sterling silver earrings")*(D86:D1084)*(E86:E1084)) / SUMIFS(E86:E1084, A86:A1084, $L86, B86:B1084, "sterling silver earrings")</f>
        <v>#DIV/0!</v>
      </c>
      <c r="N86" s="7" cm="1">
        <f t="array" ref="N86">SUMPRODUCT((A86:A1084=$L86)*(B86:B1084="silver hoop earrings for women")*(D86:D1084)*(E86:E1084)) / SUMIFS(E86:E1084, A86:A1084, $L86, B86:B1084, "silver hoop earrings for women")</f>
        <v>0</v>
      </c>
      <c r="O86" s="7" t="e" cm="1">
        <f t="array" ref="O86">SUMPRODUCT((A86:A1084=$L86)*(B86:B1084="hoop earrings")*(D86:D1084)*(E86:E1084)) / SUMIFS(E86:E1084, A86:A1084, $L86, B86:B1084, "hoop earrings")</f>
        <v>#DIV/0!</v>
      </c>
      <c r="P86" s="7" t="e" cm="1">
        <f t="array" ref="P86">SUMPRODUCT((A86:A1084=$L86)*(B86:B1084="silver hoops")*(D86:D1084)*(E86:E1084)) / SUMIFS(E86:E1084, A86:A1084, $L86, B86:B1084, "silver hoops")</f>
        <v>#DIV/0!</v>
      </c>
      <c r="Q86" s="7" cm="1">
        <f t="array" ref="Q86">SUMPRODUCT((A86:A1084=$L86)*(B86:B1084="sterling silver hoop earrings")*(D86:D1084)*(E86:E1084)) / SUMIFS(E86:E1084, A86:A1084, $L86, B86:B1084, "sterling silver hoop earrings")</f>
        <v>0</v>
      </c>
      <c r="R86" s="7" t="e" cm="1">
        <f t="array" ref="R86">SUMPRODUCT((A86:A1084=$L86)*(B86:B1084="silver hoop earrings")*(D86:D1084)*(E86:E1084)) / SUMIFS(E86:E1084, A86:A1084, $L86, B86:B1084, "silver hoop earrings")</f>
        <v>#DIV/0!</v>
      </c>
      <c r="S86" s="7" t="e" cm="1">
        <f t="array" ref="S86">SUMPRODUCT((A86:A1084=$L86)*(B86:B1084="925 sterling silver earrings")*(D86:D1084)*(E86:E1084)) / SUMIFS(E86:E1084, A86:A1084, $L86, B86:B1084, "925 sterling silver earrings")</f>
        <v>#DIV/0!</v>
      </c>
      <c r="T86" s="7" t="e" cm="1">
        <f t="array" ref="T86">SUMPRODUCT((A86:A1084=$L86)*(B86:B1084="hoops")*(D86:D1084)*(E86:E1084)) / SUMIFS(E86:E1084, A86:A1084, $L86, B86:B1084, "hoops")</f>
        <v>#DIV/0!</v>
      </c>
      <c r="U86" s="7" t="e" cm="1">
        <f t="array" ref="U86">SUMPRODUCT((A86:A1084=$L86)*(B86:B1084="hoops earrings for women")*(D86:D1084)*(E86:E1084)) / SUMIFS(E86:E1084, A86:A1084, $L86, B86:B1084, "hoops earrings for women")</f>
        <v>#DIV/0!</v>
      </c>
      <c r="V86" s="7" t="e" cm="1">
        <f t="array" ref="V86">SUMPRODUCT((A86:A1084=$L86)*(B86:B1084="silver hoops earrings for women")*(D86:D1084)*(E86:E1084)) / SUMIFS(E86:E1084, A86:A1084, $L86, B86:B1084, "silver hoops earrings for women")</f>
        <v>#DIV/0!</v>
      </c>
    </row>
    <row r="87" spans="1:22" x14ac:dyDescent="0.2">
      <c r="A87">
        <v>20250204</v>
      </c>
      <c r="B87" t="s">
        <v>7</v>
      </c>
      <c r="C87" t="s">
        <v>8</v>
      </c>
      <c r="D87">
        <v>7</v>
      </c>
      <c r="E87">
        <v>81.428571428571402</v>
      </c>
      <c r="F87">
        <v>0</v>
      </c>
      <c r="G87">
        <v>0</v>
      </c>
      <c r="H87" s="1">
        <f t="shared" si="3"/>
        <v>45692</v>
      </c>
      <c r="I87">
        <f t="shared" si="4"/>
        <v>6</v>
      </c>
      <c r="L87" s="9" t="s">
        <v>128</v>
      </c>
      <c r="M87" t="e" cm="1">
        <f t="array" ref="M87">SUMPRODUCT((A87:A1085=$L87)*(B87:B1085="sterling silver earrings")*(D87:D1085)*(E87:E1085)) / SUMIFS(E87:E1085, A87:A1085, $L87, B87:B1085, "sterling silver earrings")</f>
        <v>#DIV/0!</v>
      </c>
      <c r="N87" s="7" cm="1">
        <f t="array" ref="N87">SUMPRODUCT((A87:A1085=$L87)*(B87:B1085="silver hoop earrings for women")*(D87:D1085)*(E87:E1085)) / SUMIFS(E87:E1085, A87:A1085, $L87, B87:B1085, "silver hoop earrings for women")</f>
        <v>0</v>
      </c>
      <c r="O87" s="7" t="e" cm="1">
        <f t="array" ref="O87">SUMPRODUCT((A87:A1085=$L87)*(B87:B1085="hoop earrings")*(D87:D1085)*(E87:E1085)) / SUMIFS(E87:E1085, A87:A1085, $L87, B87:B1085, "hoop earrings")</f>
        <v>#DIV/0!</v>
      </c>
      <c r="P87" s="7" t="e" cm="1">
        <f t="array" ref="P87">SUMPRODUCT((A87:A1085=$L87)*(B87:B1085="silver hoops")*(D87:D1085)*(E87:E1085)) / SUMIFS(E87:E1085, A87:A1085, $L87, B87:B1085, "silver hoops")</f>
        <v>#DIV/0!</v>
      </c>
      <c r="Q87" s="7" cm="1">
        <f t="array" ref="Q87">SUMPRODUCT((A87:A1085=$L87)*(B87:B1085="sterling silver hoop earrings")*(D87:D1085)*(E87:E1085)) / SUMIFS(E87:E1085, A87:A1085, $L87, B87:B1085, "sterling silver hoop earrings")</f>
        <v>0</v>
      </c>
      <c r="R87" s="7" t="e" cm="1">
        <f t="array" ref="R87">SUMPRODUCT((A87:A1085=$L87)*(B87:B1085="silver hoop earrings")*(D87:D1085)*(E87:E1085)) / SUMIFS(E87:E1085, A87:A1085, $L87, B87:B1085, "silver hoop earrings")</f>
        <v>#DIV/0!</v>
      </c>
      <c r="S87" s="7" t="e" cm="1">
        <f t="array" ref="S87">SUMPRODUCT((A87:A1085=$L87)*(B87:B1085="925 sterling silver earrings")*(D87:D1085)*(E87:E1085)) / SUMIFS(E87:E1085, A87:A1085, $L87, B87:B1085, "925 sterling silver earrings")</f>
        <v>#DIV/0!</v>
      </c>
      <c r="T87" s="7" t="e" cm="1">
        <f t="array" ref="T87">SUMPRODUCT((A87:A1085=$L87)*(B87:B1085="hoops")*(D87:D1085)*(E87:E1085)) / SUMIFS(E87:E1085, A87:A1085, $L87, B87:B1085, "hoops")</f>
        <v>#DIV/0!</v>
      </c>
      <c r="U87" s="7" t="e" cm="1">
        <f t="array" ref="U87">SUMPRODUCT((A87:A1085=$L87)*(B87:B1085="hoops earrings for women")*(D87:D1085)*(E87:E1085)) / SUMIFS(E87:E1085, A87:A1085, $L87, B87:B1085, "hoops earrings for women")</f>
        <v>#DIV/0!</v>
      </c>
      <c r="V87" s="7" t="e" cm="1">
        <f t="array" ref="V87">SUMPRODUCT((A87:A1085=$L87)*(B87:B1085="silver hoops earrings for women")*(D87:D1085)*(E87:E1085)) / SUMIFS(E87:E1085, A87:A1085, $L87, B87:B1085, "silver hoops earrings for women")</f>
        <v>#DIV/0!</v>
      </c>
    </row>
    <row r="88" spans="1:22" x14ac:dyDescent="0.2">
      <c r="A88">
        <v>20250204</v>
      </c>
      <c r="B88" t="s">
        <v>9</v>
      </c>
      <c r="C88" t="s">
        <v>8</v>
      </c>
      <c r="D88">
        <v>3</v>
      </c>
      <c r="E88">
        <v>64.6666666666666</v>
      </c>
      <c r="F88">
        <v>0</v>
      </c>
      <c r="G88">
        <v>0</v>
      </c>
      <c r="H88" s="1">
        <f t="shared" si="3"/>
        <v>45692</v>
      </c>
      <c r="I88">
        <f t="shared" si="4"/>
        <v>6</v>
      </c>
      <c r="L88" s="9" t="s">
        <v>129</v>
      </c>
      <c r="M88" cm="1">
        <f t="array" ref="M88">SUMPRODUCT((A88:A1086=$L88)*(B88:B1086="sterling silver earrings")*(D88:D1086)*(E88:E1086)) / SUMIFS(E88:E1086, A88:A1086, $L88, B88:B1086, "sterling silver earrings")</f>
        <v>0</v>
      </c>
      <c r="N88" s="7" cm="1">
        <f t="array" ref="N88">SUMPRODUCT((A88:A1086=$L88)*(B88:B1086="silver hoop earrings for women")*(D88:D1086)*(E88:E1086)) / SUMIFS(E88:E1086, A88:A1086, $L88, B88:B1086, "silver hoop earrings for women")</f>
        <v>0</v>
      </c>
      <c r="O88" s="7" cm="1">
        <f t="array" ref="O88">SUMPRODUCT((A88:A1086=$L88)*(B88:B1086="hoop earrings")*(D88:D1086)*(E88:E1086)) / SUMIFS(E88:E1086, A88:A1086, $L88, B88:B1086, "hoop earrings")</f>
        <v>0</v>
      </c>
      <c r="P88" s="7" cm="1">
        <f t="array" ref="P88">SUMPRODUCT((A88:A1086=$L88)*(B88:B1086="silver hoops")*(D88:D1086)*(E88:E1086)) / SUMIFS(E88:E1086, A88:A1086, $L88, B88:B1086, "silver hoops")</f>
        <v>0</v>
      </c>
      <c r="Q88" s="7" t="e" cm="1">
        <f t="array" ref="Q88">SUMPRODUCT((A88:A1086=$L88)*(B88:B1086="sterling silver hoop earrings")*(D88:D1086)*(E88:E1086)) / SUMIFS(E88:E1086, A88:A1086, $L88, B88:B1086, "sterling silver hoop earrings")</f>
        <v>#DIV/0!</v>
      </c>
      <c r="R88" s="7" t="e" cm="1">
        <f t="array" ref="R88">SUMPRODUCT((A88:A1086=$L88)*(B88:B1086="silver hoop earrings")*(D88:D1086)*(E88:E1086)) / SUMIFS(E88:E1086, A88:A1086, $L88, B88:B1086, "silver hoop earrings")</f>
        <v>#DIV/0!</v>
      </c>
      <c r="S88" s="7" t="e" cm="1">
        <f t="array" ref="S88">SUMPRODUCT((A88:A1086=$L88)*(B88:B1086="925 sterling silver earrings")*(D88:D1086)*(E88:E1086)) / SUMIFS(E88:E1086, A88:A1086, $L88, B88:B1086, "925 sterling silver earrings")</f>
        <v>#DIV/0!</v>
      </c>
      <c r="T88" s="7" t="e" cm="1">
        <f t="array" ref="T88">SUMPRODUCT((A88:A1086=$L88)*(B88:B1086="hoops")*(D88:D1086)*(E88:E1086)) / SUMIFS(E88:E1086, A88:A1086, $L88, B88:B1086, "hoops")</f>
        <v>#DIV/0!</v>
      </c>
      <c r="U88" s="7" t="e" cm="1">
        <f t="array" ref="U88">SUMPRODUCT((A88:A1086=$L88)*(B88:B1086="hoops earrings for women")*(D88:D1086)*(E88:E1086)) / SUMIFS(E88:E1086, A88:A1086, $L88, B88:B1086, "hoops earrings for women")</f>
        <v>#DIV/0!</v>
      </c>
      <c r="V88" s="7" t="e" cm="1">
        <f t="array" ref="V88">SUMPRODUCT((A88:A1086=$L88)*(B88:B1086="silver hoops earrings for women")*(D88:D1086)*(E88:E1086)) / SUMIFS(E88:E1086, A88:A1086, $L88, B88:B1086, "silver hoops earrings for women")</f>
        <v>#DIV/0!</v>
      </c>
    </row>
    <row r="89" spans="1:22" x14ac:dyDescent="0.2">
      <c r="A89">
        <v>20250205</v>
      </c>
      <c r="B89" t="s">
        <v>7</v>
      </c>
      <c r="C89" t="s">
        <v>8</v>
      </c>
      <c r="D89">
        <v>3</v>
      </c>
      <c r="E89">
        <v>58</v>
      </c>
      <c r="F89">
        <v>0</v>
      </c>
      <c r="G89">
        <v>0</v>
      </c>
      <c r="H89" s="1">
        <f t="shared" si="3"/>
        <v>45693</v>
      </c>
      <c r="I89">
        <f t="shared" si="4"/>
        <v>6</v>
      </c>
      <c r="L89" s="9" t="s">
        <v>130</v>
      </c>
      <c r="M89" cm="1">
        <f t="array" ref="M89">SUMPRODUCT((A89:A1087=$L89)*(B89:B1087="sterling silver earrings")*(D89:D1087)*(E89:E1087)) / SUMIFS(E89:E1087, A89:A1087, $L89, B89:B1087, "sterling silver earrings")</f>
        <v>0</v>
      </c>
      <c r="N89" s="7" cm="1">
        <f t="array" ref="N89">SUMPRODUCT((A89:A1087=$L89)*(B89:B1087="silver hoop earrings for women")*(D89:D1087)*(E89:E1087)) / SUMIFS(E89:E1087, A89:A1087, $L89, B89:B1087, "silver hoop earrings for women")</f>
        <v>0</v>
      </c>
      <c r="O89" s="7" t="e" cm="1">
        <f t="array" ref="O89">SUMPRODUCT((A89:A1087=$L89)*(B89:B1087="hoop earrings")*(D89:D1087)*(E89:E1087)) / SUMIFS(E89:E1087, A89:A1087, $L89, B89:B1087, "hoop earrings")</f>
        <v>#DIV/0!</v>
      </c>
      <c r="P89" s="7" t="e" cm="1">
        <f t="array" ref="P89">SUMPRODUCT((A89:A1087=$L89)*(B89:B1087="silver hoops")*(D89:D1087)*(E89:E1087)) / SUMIFS(E89:E1087, A89:A1087, $L89, B89:B1087, "silver hoops")</f>
        <v>#DIV/0!</v>
      </c>
      <c r="Q89" s="7" cm="1">
        <f t="array" ref="Q89">SUMPRODUCT((A89:A1087=$L89)*(B89:B1087="sterling silver hoop earrings")*(D89:D1087)*(E89:E1087)) / SUMIFS(E89:E1087, A89:A1087, $L89, B89:B1087, "sterling silver hoop earrings")</f>
        <v>0</v>
      </c>
      <c r="R89" s="7" t="e" cm="1">
        <f t="array" ref="R89">SUMPRODUCT((A89:A1087=$L89)*(B89:B1087="silver hoop earrings")*(D89:D1087)*(E89:E1087)) / SUMIFS(E89:E1087, A89:A1087, $L89, B89:B1087, "silver hoop earrings")</f>
        <v>#DIV/0!</v>
      </c>
      <c r="S89" s="7" t="e" cm="1">
        <f t="array" ref="S89">SUMPRODUCT((A89:A1087=$L89)*(B89:B1087="925 sterling silver earrings")*(D89:D1087)*(E89:E1087)) / SUMIFS(E89:E1087, A89:A1087, $L89, B89:B1087, "925 sterling silver earrings")</f>
        <v>#DIV/0!</v>
      </c>
      <c r="T89" s="7" t="e" cm="1">
        <f t="array" ref="T89">SUMPRODUCT((A89:A1087=$L89)*(B89:B1087="hoops")*(D89:D1087)*(E89:E1087)) / SUMIFS(E89:E1087, A89:A1087, $L89, B89:B1087, "hoops")</f>
        <v>#DIV/0!</v>
      </c>
      <c r="U89" s="7" t="e" cm="1">
        <f t="array" ref="U89">SUMPRODUCT((A89:A1087=$L89)*(B89:B1087="hoops earrings for women")*(D89:D1087)*(E89:E1087)) / SUMIFS(E89:E1087, A89:A1087, $L89, B89:B1087, "hoops earrings for women")</f>
        <v>#DIV/0!</v>
      </c>
      <c r="V89" s="7" t="e" cm="1">
        <f t="array" ref="V89">SUMPRODUCT((A89:A1087=$L89)*(B89:B1087="silver hoops earrings for women")*(D89:D1087)*(E89:E1087)) / SUMIFS(E89:E1087, A89:A1087, $L89, B89:B1087, "silver hoops earrings for women")</f>
        <v>#DIV/0!</v>
      </c>
    </row>
    <row r="90" spans="1:22" x14ac:dyDescent="0.2">
      <c r="A90">
        <v>20250205</v>
      </c>
      <c r="B90" t="s">
        <v>7</v>
      </c>
      <c r="C90" t="s">
        <v>28</v>
      </c>
      <c r="D90">
        <v>2</v>
      </c>
      <c r="E90">
        <v>1</v>
      </c>
      <c r="F90">
        <v>0</v>
      </c>
      <c r="G90">
        <v>3</v>
      </c>
      <c r="H90" s="1">
        <f t="shared" si="3"/>
        <v>45693</v>
      </c>
      <c r="I90">
        <f t="shared" si="4"/>
        <v>6</v>
      </c>
      <c r="L90" s="9" t="s">
        <v>131</v>
      </c>
      <c r="M90" t="e" cm="1">
        <f t="array" ref="M90">SUMPRODUCT((A90:A1088=$L90)*(B90:B1088="sterling silver earrings")*(D90:D1088)*(E90:E1088)) / SUMIFS(E90:E1088, A90:A1088, $L90, B90:B1088, "sterling silver earrings")</f>
        <v>#DIV/0!</v>
      </c>
      <c r="N90" s="7" cm="1">
        <f t="array" ref="N90">SUMPRODUCT((A90:A1088=$L90)*(B90:B1088="silver hoop earrings for women")*(D90:D1088)*(E90:E1088)) / SUMIFS(E90:E1088, A90:A1088, $L90, B90:B1088, "silver hoop earrings for women")</f>
        <v>0</v>
      </c>
      <c r="O90" s="7" t="e" cm="1">
        <f t="array" ref="O90">SUMPRODUCT((A90:A1088=$L90)*(B90:B1088="hoop earrings")*(D90:D1088)*(E90:E1088)) / SUMIFS(E90:E1088, A90:A1088, $L90, B90:B1088, "hoop earrings")</f>
        <v>#DIV/0!</v>
      </c>
      <c r="P90" s="7" t="e" cm="1">
        <f t="array" ref="P90">SUMPRODUCT((A90:A1088=$L90)*(B90:B1088="silver hoops")*(D90:D1088)*(E90:E1088)) / SUMIFS(E90:E1088, A90:A1088, $L90, B90:B1088, "silver hoops")</f>
        <v>#DIV/0!</v>
      </c>
      <c r="Q90" s="7" cm="1">
        <f t="array" ref="Q90">SUMPRODUCT((A90:A1088=$L90)*(B90:B1088="sterling silver hoop earrings")*(D90:D1088)*(E90:E1088)) / SUMIFS(E90:E1088, A90:A1088, $L90, B90:B1088, "sterling silver hoop earrings")</f>
        <v>0</v>
      </c>
      <c r="R90" s="7" cm="1">
        <f t="array" ref="R90">SUMPRODUCT((A90:A1088=$L90)*(B90:B1088="silver hoop earrings")*(D90:D1088)*(E90:E1088)) / SUMIFS(E90:E1088, A90:A1088, $L90, B90:B1088, "silver hoop earrings")</f>
        <v>0</v>
      </c>
      <c r="S90" s="7" t="e" cm="1">
        <f t="array" ref="S90">SUMPRODUCT((A90:A1088=$L90)*(B90:B1088="925 sterling silver earrings")*(D90:D1088)*(E90:E1088)) / SUMIFS(E90:E1088, A90:A1088, $L90, B90:B1088, "925 sterling silver earrings")</f>
        <v>#DIV/0!</v>
      </c>
      <c r="T90" s="7" t="e" cm="1">
        <f t="array" ref="T90">SUMPRODUCT((A90:A1088=$L90)*(B90:B1088="hoops")*(D90:D1088)*(E90:E1088)) / SUMIFS(E90:E1088, A90:A1088, $L90, B90:B1088, "hoops")</f>
        <v>#DIV/0!</v>
      </c>
      <c r="U90" s="7" t="e" cm="1">
        <f t="array" ref="U90">SUMPRODUCT((A90:A1088=$L90)*(B90:B1088="hoops earrings for women")*(D90:D1088)*(E90:E1088)) / SUMIFS(E90:E1088, A90:A1088, $L90, B90:B1088, "hoops earrings for women")</f>
        <v>#DIV/0!</v>
      </c>
      <c r="V90" s="7" t="e" cm="1">
        <f t="array" ref="V90">SUMPRODUCT((A90:A1088=$L90)*(B90:B1088="silver hoops earrings for women")*(D90:D1088)*(E90:E1088)) / SUMIFS(E90:E1088, A90:A1088, $L90, B90:B1088, "silver hoops earrings for women")</f>
        <v>#DIV/0!</v>
      </c>
    </row>
    <row r="91" spans="1:22" x14ac:dyDescent="0.2">
      <c r="A91">
        <v>20250205</v>
      </c>
      <c r="B91" t="s">
        <v>9</v>
      </c>
      <c r="C91" t="s">
        <v>24</v>
      </c>
      <c r="D91">
        <v>1</v>
      </c>
      <c r="E91">
        <v>28</v>
      </c>
      <c r="F91">
        <v>0</v>
      </c>
      <c r="G91">
        <v>0</v>
      </c>
      <c r="H91" s="1">
        <f t="shared" si="3"/>
        <v>45693</v>
      </c>
      <c r="I91">
        <f t="shared" si="4"/>
        <v>6</v>
      </c>
      <c r="L91" s="9" t="s">
        <v>132</v>
      </c>
      <c r="M91" t="e" cm="1">
        <f t="array" ref="M91">SUMPRODUCT((A91:A1089=$L91)*(B91:B1089="sterling silver earrings")*(D91:D1089)*(E91:E1089)) / SUMIFS(E91:E1089, A91:A1089, $L91, B91:B1089, "sterling silver earrings")</f>
        <v>#DIV/0!</v>
      </c>
      <c r="N91" s="7" cm="1">
        <f t="array" ref="N91">SUMPRODUCT((A91:A1089=$L91)*(B91:B1089="silver hoop earrings for women")*(D91:D1089)*(E91:E1089)) / SUMIFS(E91:E1089, A91:A1089, $L91, B91:B1089, "silver hoop earrings for women")</f>
        <v>0</v>
      </c>
      <c r="O91" s="7" t="e" cm="1">
        <f t="array" ref="O91">SUMPRODUCT((A91:A1089=$L91)*(B91:B1089="hoop earrings")*(D91:D1089)*(E91:E1089)) / SUMIFS(E91:E1089, A91:A1089, $L91, B91:B1089, "hoop earrings")</f>
        <v>#DIV/0!</v>
      </c>
      <c r="P91" s="7" t="e" cm="1">
        <f t="array" ref="P91">SUMPRODUCT((A91:A1089=$L91)*(B91:B1089="silver hoops")*(D91:D1089)*(E91:E1089)) / SUMIFS(E91:E1089, A91:A1089, $L91, B91:B1089, "silver hoops")</f>
        <v>#DIV/0!</v>
      </c>
      <c r="Q91" s="7" cm="1">
        <f t="array" ref="Q91">SUMPRODUCT((A91:A1089=$L91)*(B91:B1089="sterling silver hoop earrings")*(D91:D1089)*(E91:E1089)) / SUMIFS(E91:E1089, A91:A1089, $L91, B91:B1089, "sterling silver hoop earrings")</f>
        <v>0</v>
      </c>
      <c r="R91" s="7" t="e" cm="1">
        <f t="array" ref="R91">SUMPRODUCT((A91:A1089=$L91)*(B91:B1089="silver hoop earrings")*(D91:D1089)*(E91:E1089)) / SUMIFS(E91:E1089, A91:A1089, $L91, B91:B1089, "silver hoop earrings")</f>
        <v>#DIV/0!</v>
      </c>
      <c r="S91" s="7" t="e" cm="1">
        <f t="array" ref="S91">SUMPRODUCT((A91:A1089=$L91)*(B91:B1089="925 sterling silver earrings")*(D91:D1089)*(E91:E1089)) / SUMIFS(E91:E1089, A91:A1089, $L91, B91:B1089, "925 sterling silver earrings")</f>
        <v>#DIV/0!</v>
      </c>
      <c r="T91" s="7" t="e" cm="1">
        <f t="array" ref="T91">SUMPRODUCT((A91:A1089=$L91)*(B91:B1089="hoops")*(D91:D1089)*(E91:E1089)) / SUMIFS(E91:E1089, A91:A1089, $L91, B91:B1089, "hoops")</f>
        <v>#DIV/0!</v>
      </c>
      <c r="U91" s="7" t="e" cm="1">
        <f t="array" ref="U91">SUMPRODUCT((A91:A1089=$L91)*(B91:B1089="hoops earrings for women")*(D91:D1089)*(E91:E1089)) / SUMIFS(E91:E1089, A91:A1089, $L91, B91:B1089, "hoops earrings for women")</f>
        <v>#DIV/0!</v>
      </c>
      <c r="V91" s="7" t="e" cm="1">
        <f t="array" ref="V91">SUMPRODUCT((A91:A1089=$L91)*(B91:B1089="silver hoops earrings for women")*(D91:D1089)*(E91:E1089)) / SUMIFS(E91:E1089, A91:A1089, $L91, B91:B1089, "silver hoops earrings for women")</f>
        <v>#DIV/0!</v>
      </c>
    </row>
    <row r="92" spans="1:22" x14ac:dyDescent="0.2">
      <c r="A92">
        <v>20250206</v>
      </c>
      <c r="B92" t="s">
        <v>7</v>
      </c>
      <c r="C92" t="s">
        <v>8</v>
      </c>
      <c r="D92">
        <v>2</v>
      </c>
      <c r="E92">
        <v>14.5</v>
      </c>
      <c r="F92">
        <v>0</v>
      </c>
      <c r="G92">
        <v>0</v>
      </c>
      <c r="H92" s="1">
        <f t="shared" si="3"/>
        <v>45694</v>
      </c>
      <c r="I92">
        <f t="shared" si="4"/>
        <v>6</v>
      </c>
      <c r="L92" s="9" t="s">
        <v>133</v>
      </c>
      <c r="M92" cm="1">
        <f t="array" ref="M92">SUMPRODUCT((A92:A1090=$L92)*(B92:B1090="sterling silver earrings")*(D92:D1090)*(E92:E1090)) / SUMIFS(E92:E1090, A92:A1090, $L92, B92:B1090, "sterling silver earrings")</f>
        <v>0</v>
      </c>
      <c r="N92" s="7" cm="1">
        <f t="array" ref="N92">SUMPRODUCT((A92:A1090=$L92)*(B92:B1090="silver hoop earrings for women")*(D92:D1090)*(E92:E1090)) / SUMIFS(E92:E1090, A92:A1090, $L92, B92:B1090, "silver hoop earrings for women")</f>
        <v>0</v>
      </c>
      <c r="O92" s="7" t="e" cm="1">
        <f t="array" ref="O92">SUMPRODUCT((A92:A1090=$L92)*(B92:B1090="hoop earrings")*(D92:D1090)*(E92:E1090)) / SUMIFS(E92:E1090, A92:A1090, $L92, B92:B1090, "hoop earrings")</f>
        <v>#DIV/0!</v>
      </c>
      <c r="P92" s="7" t="e" cm="1">
        <f t="array" ref="P92">SUMPRODUCT((A92:A1090=$L92)*(B92:B1090="silver hoops")*(D92:D1090)*(E92:E1090)) / SUMIFS(E92:E1090, A92:A1090, $L92, B92:B1090, "silver hoops")</f>
        <v>#DIV/0!</v>
      </c>
      <c r="Q92" s="7" cm="1">
        <f t="array" ref="Q92">SUMPRODUCT((A92:A1090=$L92)*(B92:B1090="sterling silver hoop earrings")*(D92:D1090)*(E92:E1090)) / SUMIFS(E92:E1090, A92:A1090, $L92, B92:B1090, "sterling silver hoop earrings")</f>
        <v>0</v>
      </c>
      <c r="R92" s="7" cm="1">
        <f t="array" ref="R92">SUMPRODUCT((A92:A1090=$L92)*(B92:B1090="silver hoop earrings")*(D92:D1090)*(E92:E1090)) / SUMIFS(E92:E1090, A92:A1090, $L92, B92:B1090, "silver hoop earrings")</f>
        <v>0</v>
      </c>
      <c r="S92" s="7" t="e" cm="1">
        <f t="array" ref="S92">SUMPRODUCT((A92:A1090=$L92)*(B92:B1090="925 sterling silver earrings")*(D92:D1090)*(E92:E1090)) / SUMIFS(E92:E1090, A92:A1090, $L92, B92:B1090, "925 sterling silver earrings")</f>
        <v>#DIV/0!</v>
      </c>
      <c r="T92" s="7" t="e" cm="1">
        <f t="array" ref="T92">SUMPRODUCT((A92:A1090=$L92)*(B92:B1090="hoops")*(D92:D1090)*(E92:E1090)) / SUMIFS(E92:E1090, A92:A1090, $L92, B92:B1090, "hoops")</f>
        <v>#DIV/0!</v>
      </c>
      <c r="U92" s="7" t="e" cm="1">
        <f t="array" ref="U92">SUMPRODUCT((A92:A1090=$L92)*(B92:B1090="hoops earrings for women")*(D92:D1090)*(E92:E1090)) / SUMIFS(E92:E1090, A92:A1090, $L92, B92:B1090, "hoops earrings for women")</f>
        <v>#DIV/0!</v>
      </c>
      <c r="V92" s="7" t="e" cm="1">
        <f t="array" ref="V92">SUMPRODUCT((A92:A1090=$L92)*(B92:B1090="silver hoops earrings for women")*(D92:D1090)*(E92:E1090)) / SUMIFS(E92:E1090, A92:A1090, $L92, B92:B1090, "silver hoops earrings for women")</f>
        <v>#DIV/0!</v>
      </c>
    </row>
    <row r="93" spans="1:22" x14ac:dyDescent="0.2">
      <c r="A93">
        <v>20250206</v>
      </c>
      <c r="B93" t="s">
        <v>7</v>
      </c>
      <c r="C93" t="s">
        <v>22</v>
      </c>
      <c r="D93">
        <v>1</v>
      </c>
      <c r="E93">
        <v>48</v>
      </c>
      <c r="F93">
        <v>0</v>
      </c>
      <c r="G93">
        <v>0</v>
      </c>
      <c r="H93" s="1">
        <f t="shared" si="3"/>
        <v>45694</v>
      </c>
      <c r="I93">
        <f t="shared" si="4"/>
        <v>6</v>
      </c>
      <c r="L93" s="9" t="s">
        <v>134</v>
      </c>
      <c r="M93" t="e" cm="1">
        <f t="array" ref="M93">SUMPRODUCT((A93:A1091=$L93)*(B93:B1091="sterling silver earrings")*(D93:D1091)*(E93:E1091)) / SUMIFS(E93:E1091, A93:A1091, $L93, B93:B1091, "sterling silver earrings")</f>
        <v>#DIV/0!</v>
      </c>
      <c r="N93" s="7" cm="1">
        <f t="array" ref="N93">SUMPRODUCT((A93:A1091=$L93)*(B93:B1091="silver hoop earrings for women")*(D93:D1091)*(E93:E1091)) / SUMIFS(E93:E1091, A93:A1091, $L93, B93:B1091, "silver hoop earrings for women")</f>
        <v>0</v>
      </c>
      <c r="O93" s="7" t="e" cm="1">
        <f t="array" ref="O93">SUMPRODUCT((A93:A1091=$L93)*(B93:B1091="hoop earrings")*(D93:D1091)*(E93:E1091)) / SUMIFS(E93:E1091, A93:A1091, $L93, B93:B1091, "hoop earrings")</f>
        <v>#DIV/0!</v>
      </c>
      <c r="P93" s="7" t="e" cm="1">
        <f t="array" ref="P93">SUMPRODUCT((A93:A1091=$L93)*(B93:B1091="silver hoops")*(D93:D1091)*(E93:E1091)) / SUMIFS(E93:E1091, A93:A1091, $L93, B93:B1091, "silver hoops")</f>
        <v>#DIV/0!</v>
      </c>
      <c r="Q93" s="7" cm="1">
        <f t="array" ref="Q93">SUMPRODUCT((A93:A1091=$L93)*(B93:B1091="sterling silver hoop earrings")*(D93:D1091)*(E93:E1091)) / SUMIFS(E93:E1091, A93:A1091, $L93, B93:B1091, "sterling silver hoop earrings")</f>
        <v>0</v>
      </c>
      <c r="R93" s="7" cm="1">
        <f t="array" ref="R93">SUMPRODUCT((A93:A1091=$L93)*(B93:B1091="silver hoop earrings")*(D93:D1091)*(E93:E1091)) / SUMIFS(E93:E1091, A93:A1091, $L93, B93:B1091, "silver hoop earrings")</f>
        <v>0</v>
      </c>
      <c r="S93" s="7" t="e" cm="1">
        <f t="array" ref="S93">SUMPRODUCT((A93:A1091=$L93)*(B93:B1091="925 sterling silver earrings")*(D93:D1091)*(E93:E1091)) / SUMIFS(E93:E1091, A93:A1091, $L93, B93:B1091, "925 sterling silver earrings")</f>
        <v>#DIV/0!</v>
      </c>
      <c r="T93" s="7" t="e" cm="1">
        <f t="array" ref="T93">SUMPRODUCT((A93:A1091=$L93)*(B93:B1091="hoops")*(D93:D1091)*(E93:E1091)) / SUMIFS(E93:E1091, A93:A1091, $L93, B93:B1091, "hoops")</f>
        <v>#DIV/0!</v>
      </c>
      <c r="U93" s="7" t="e" cm="1">
        <f t="array" ref="U93">SUMPRODUCT((A93:A1091=$L93)*(B93:B1091="hoops earrings for women")*(D93:D1091)*(E93:E1091)) / SUMIFS(E93:E1091, A93:A1091, $L93, B93:B1091, "hoops earrings for women")</f>
        <v>#DIV/0!</v>
      </c>
      <c r="V93" s="7" t="e" cm="1">
        <f t="array" ref="V93">SUMPRODUCT((A93:A1091=$L93)*(B93:B1091="silver hoops earrings for women")*(D93:D1091)*(E93:E1091)) / SUMIFS(E93:E1091, A93:A1091, $L93, B93:B1091, "silver hoops earrings for women")</f>
        <v>#DIV/0!</v>
      </c>
    </row>
    <row r="94" spans="1:22" x14ac:dyDescent="0.2">
      <c r="A94">
        <v>20250206</v>
      </c>
      <c r="B94" t="s">
        <v>9</v>
      </c>
      <c r="C94" t="s">
        <v>13</v>
      </c>
      <c r="D94">
        <v>2</v>
      </c>
      <c r="E94">
        <v>1</v>
      </c>
      <c r="F94">
        <v>0</v>
      </c>
      <c r="G94">
        <v>0</v>
      </c>
      <c r="H94" s="1">
        <f t="shared" si="3"/>
        <v>45694</v>
      </c>
      <c r="I94">
        <f t="shared" si="4"/>
        <v>6</v>
      </c>
      <c r="L94" s="9" t="s">
        <v>135</v>
      </c>
      <c r="M94" cm="1">
        <f t="array" ref="M94">SUMPRODUCT((A94:A1092=$L94)*(B94:B1092="sterling silver earrings")*(D94:D1092)*(E94:E1092)) / SUMIFS(E94:E1092, A94:A1092, $L94, B94:B1092, "sterling silver earrings")</f>
        <v>0</v>
      </c>
      <c r="N94" s="7" t="e" cm="1">
        <f t="array" ref="N94">SUMPRODUCT((A94:A1092=$L94)*(B94:B1092="silver hoop earrings for women")*(D94:D1092)*(E94:E1092)) / SUMIFS(E94:E1092, A94:A1092, $L94, B94:B1092, "silver hoop earrings for women")</f>
        <v>#DIV/0!</v>
      </c>
      <c r="O94" s="7" t="e" cm="1">
        <f t="array" ref="O94">SUMPRODUCT((A94:A1092=$L94)*(B94:B1092="hoop earrings")*(D94:D1092)*(E94:E1092)) / SUMIFS(E94:E1092, A94:A1092, $L94, B94:B1092, "hoop earrings")</f>
        <v>#DIV/0!</v>
      </c>
      <c r="P94" s="7" t="e" cm="1">
        <f t="array" ref="P94">SUMPRODUCT((A94:A1092=$L94)*(B94:B1092="silver hoops")*(D94:D1092)*(E94:E1092)) / SUMIFS(E94:E1092, A94:A1092, $L94, B94:B1092, "silver hoops")</f>
        <v>#DIV/0!</v>
      </c>
      <c r="Q94" s="7" t="e" cm="1">
        <f t="array" ref="Q94">SUMPRODUCT((A94:A1092=$L94)*(B94:B1092="sterling silver hoop earrings")*(D94:D1092)*(E94:E1092)) / SUMIFS(E94:E1092, A94:A1092, $L94, B94:B1092, "sterling silver hoop earrings")</f>
        <v>#DIV/0!</v>
      </c>
      <c r="R94" s="7" cm="1">
        <f t="array" ref="R94">SUMPRODUCT((A94:A1092=$L94)*(B94:B1092="silver hoop earrings")*(D94:D1092)*(E94:E1092)) / SUMIFS(E94:E1092, A94:A1092, $L94, B94:B1092, "silver hoop earrings")</f>
        <v>0</v>
      </c>
      <c r="S94" s="7" t="e" cm="1">
        <f t="array" ref="S94">SUMPRODUCT((A94:A1092=$L94)*(B94:B1092="925 sterling silver earrings")*(D94:D1092)*(E94:E1092)) / SUMIFS(E94:E1092, A94:A1092, $L94, B94:B1092, "925 sterling silver earrings")</f>
        <v>#DIV/0!</v>
      </c>
      <c r="T94" s="7" t="e" cm="1">
        <f t="array" ref="T94">SUMPRODUCT((A94:A1092=$L94)*(B94:B1092="hoops")*(D94:D1092)*(E94:E1092)) / SUMIFS(E94:E1092, A94:A1092, $L94, B94:B1092, "hoops")</f>
        <v>#DIV/0!</v>
      </c>
      <c r="U94" s="7" t="e" cm="1">
        <f t="array" ref="U94">SUMPRODUCT((A94:A1092=$L94)*(B94:B1092="hoops earrings for women")*(D94:D1092)*(E94:E1092)) / SUMIFS(E94:E1092, A94:A1092, $L94, B94:B1092, "hoops earrings for women")</f>
        <v>#DIV/0!</v>
      </c>
      <c r="V94" s="7" t="e" cm="1">
        <f t="array" ref="V94">SUMPRODUCT((A94:A1092=$L94)*(B94:B1092="silver hoops earrings for women")*(D94:D1092)*(E94:E1092)) / SUMIFS(E94:E1092, A94:A1092, $L94, B94:B1092, "silver hoops earrings for women")</f>
        <v>#DIV/0!</v>
      </c>
    </row>
    <row r="95" spans="1:22" x14ac:dyDescent="0.2">
      <c r="A95">
        <v>20250206</v>
      </c>
      <c r="B95" t="s">
        <v>10</v>
      </c>
      <c r="C95" t="s">
        <v>8</v>
      </c>
      <c r="D95">
        <v>1</v>
      </c>
      <c r="E95">
        <v>15</v>
      </c>
      <c r="F95">
        <v>0</v>
      </c>
      <c r="G95">
        <v>0</v>
      </c>
      <c r="H95" s="1">
        <f t="shared" si="3"/>
        <v>45694</v>
      </c>
      <c r="I95">
        <f t="shared" si="4"/>
        <v>6</v>
      </c>
      <c r="L95" s="9" t="s">
        <v>136</v>
      </c>
      <c r="M95" cm="1">
        <f t="array" ref="M95">SUMPRODUCT((A95:A1093=$L95)*(B95:B1093="sterling silver earrings")*(D95:D1093)*(E95:E1093)) / SUMIFS(E95:E1093, A95:A1093, $L95, B95:B1093, "sterling silver earrings")</f>
        <v>0</v>
      </c>
      <c r="N95" s="7" cm="1">
        <f t="array" ref="N95">SUMPRODUCT((A95:A1093=$L95)*(B95:B1093="silver hoop earrings for women")*(D95:D1093)*(E95:E1093)) / SUMIFS(E95:E1093, A95:A1093, $L95, B95:B1093, "silver hoop earrings for women")</f>
        <v>0</v>
      </c>
      <c r="O95" s="7" t="e" cm="1">
        <f t="array" ref="O95">SUMPRODUCT((A95:A1093=$L95)*(B95:B1093="hoop earrings")*(D95:D1093)*(E95:E1093)) / SUMIFS(E95:E1093, A95:A1093, $L95, B95:B1093, "hoop earrings")</f>
        <v>#DIV/0!</v>
      </c>
      <c r="P95" s="7" t="e" cm="1">
        <f t="array" ref="P95">SUMPRODUCT((A95:A1093=$L95)*(B95:B1093="silver hoops")*(D95:D1093)*(E95:E1093)) / SUMIFS(E95:E1093, A95:A1093, $L95, B95:B1093, "silver hoops")</f>
        <v>#DIV/0!</v>
      </c>
      <c r="Q95" s="7" cm="1">
        <f t="array" ref="Q95">SUMPRODUCT((A95:A1093=$L95)*(B95:B1093="sterling silver hoop earrings")*(D95:D1093)*(E95:E1093)) / SUMIFS(E95:E1093, A95:A1093, $L95, B95:B1093, "sterling silver hoop earrings")</f>
        <v>0</v>
      </c>
      <c r="R95" s="7" t="e" cm="1">
        <f t="array" ref="R95">SUMPRODUCT((A95:A1093=$L95)*(B95:B1093="silver hoop earrings")*(D95:D1093)*(E95:E1093)) / SUMIFS(E95:E1093, A95:A1093, $L95, B95:B1093, "silver hoop earrings")</f>
        <v>#DIV/0!</v>
      </c>
      <c r="S95" s="7" t="e" cm="1">
        <f t="array" ref="S95">SUMPRODUCT((A95:A1093=$L95)*(B95:B1093="925 sterling silver earrings")*(D95:D1093)*(E95:E1093)) / SUMIFS(E95:E1093, A95:A1093, $L95, B95:B1093, "925 sterling silver earrings")</f>
        <v>#DIV/0!</v>
      </c>
      <c r="T95" s="7" t="e" cm="1">
        <f t="array" ref="T95">SUMPRODUCT((A95:A1093=$L95)*(B95:B1093="hoops")*(D95:D1093)*(E95:E1093)) / SUMIFS(E95:E1093, A95:A1093, $L95, B95:B1093, "hoops")</f>
        <v>#DIV/0!</v>
      </c>
      <c r="U95" s="7" t="e" cm="1">
        <f t="array" ref="U95">SUMPRODUCT((A95:A1093=$L95)*(B95:B1093="hoops earrings for women")*(D95:D1093)*(E95:E1093)) / SUMIFS(E95:E1093, A95:A1093, $L95, B95:B1093, "hoops earrings for women")</f>
        <v>#DIV/0!</v>
      </c>
      <c r="V95" s="7" t="e" cm="1">
        <f t="array" ref="V95">SUMPRODUCT((A95:A1093=$L95)*(B95:B1093="silver hoops earrings for women")*(D95:D1093)*(E95:E1093)) / SUMIFS(E95:E1093, A95:A1093, $L95, B95:B1093, "silver hoops earrings for women")</f>
        <v>#DIV/0!</v>
      </c>
    </row>
    <row r="96" spans="1:22" x14ac:dyDescent="0.2">
      <c r="A96">
        <v>20250207</v>
      </c>
      <c r="B96" t="s">
        <v>7</v>
      </c>
      <c r="C96" t="s">
        <v>8</v>
      </c>
      <c r="D96">
        <v>2</v>
      </c>
      <c r="E96">
        <v>20.5</v>
      </c>
      <c r="F96">
        <v>0</v>
      </c>
      <c r="G96">
        <v>0</v>
      </c>
      <c r="H96" s="1">
        <f t="shared" si="3"/>
        <v>45695</v>
      </c>
      <c r="I96">
        <f t="shared" si="4"/>
        <v>6</v>
      </c>
      <c r="L96" s="9" t="s">
        <v>137</v>
      </c>
      <c r="M96" cm="1">
        <f t="array" ref="M96">SUMPRODUCT((A96:A1094=$L96)*(B96:B1094="sterling silver earrings")*(D96:D1094)*(E96:E1094)) / SUMIFS(E96:E1094, A96:A1094, $L96, B96:B1094, "sterling silver earrings")</f>
        <v>0</v>
      </c>
      <c r="N96" s="7" cm="1">
        <f t="array" ref="N96">SUMPRODUCT((A96:A1094=$L96)*(B96:B1094="silver hoop earrings for women")*(D96:D1094)*(E96:E1094)) / SUMIFS(E96:E1094, A96:A1094, $L96, B96:B1094, "silver hoop earrings for women")</f>
        <v>0</v>
      </c>
      <c r="O96" s="7" t="e" cm="1">
        <f t="array" ref="O96">SUMPRODUCT((A96:A1094=$L96)*(B96:B1094="hoop earrings")*(D96:D1094)*(E96:E1094)) / SUMIFS(E96:E1094, A96:A1094, $L96, B96:B1094, "hoop earrings")</f>
        <v>#DIV/0!</v>
      </c>
      <c r="P96" s="7" t="e" cm="1">
        <f t="array" ref="P96">SUMPRODUCT((A96:A1094=$L96)*(B96:B1094="silver hoops")*(D96:D1094)*(E96:E1094)) / SUMIFS(E96:E1094, A96:A1094, $L96, B96:B1094, "silver hoops")</f>
        <v>#DIV/0!</v>
      </c>
      <c r="Q96" s="7" cm="1">
        <f t="array" ref="Q96">SUMPRODUCT((A96:A1094=$L96)*(B96:B1094="sterling silver hoop earrings")*(D96:D1094)*(E96:E1094)) / SUMIFS(E96:E1094, A96:A1094, $L96, B96:B1094, "sterling silver hoop earrings")</f>
        <v>0</v>
      </c>
      <c r="R96" s="7" t="e" cm="1">
        <f t="array" ref="R96">SUMPRODUCT((A96:A1094=$L96)*(B96:B1094="silver hoop earrings")*(D96:D1094)*(E96:E1094)) / SUMIFS(E96:E1094, A96:A1094, $L96, B96:B1094, "silver hoop earrings")</f>
        <v>#DIV/0!</v>
      </c>
      <c r="S96" s="7" t="e" cm="1">
        <f t="array" ref="S96">SUMPRODUCT((A96:A1094=$L96)*(B96:B1094="925 sterling silver earrings")*(D96:D1094)*(E96:E1094)) / SUMIFS(E96:E1094, A96:A1094, $L96, B96:B1094, "925 sterling silver earrings")</f>
        <v>#DIV/0!</v>
      </c>
      <c r="T96" s="7" t="e" cm="1">
        <f t="array" ref="T96">SUMPRODUCT((A96:A1094=$L96)*(B96:B1094="hoops")*(D96:D1094)*(E96:E1094)) / SUMIFS(E96:E1094, A96:A1094, $L96, B96:B1094, "hoops")</f>
        <v>#DIV/0!</v>
      </c>
      <c r="U96" s="7" t="e" cm="1">
        <f t="array" ref="U96">SUMPRODUCT((A96:A1094=$L96)*(B96:B1094="hoops earrings for women")*(D96:D1094)*(E96:E1094)) / SUMIFS(E96:E1094, A96:A1094, $L96, B96:B1094, "hoops earrings for women")</f>
        <v>#DIV/0!</v>
      </c>
      <c r="V96" s="7" t="e" cm="1">
        <f t="array" ref="V96">SUMPRODUCT((A96:A1094=$L96)*(B96:B1094="silver hoops earrings for women")*(D96:D1094)*(E96:E1094)) / SUMIFS(E96:E1094, A96:A1094, $L96, B96:B1094, "silver hoops earrings for women")</f>
        <v>#DIV/0!</v>
      </c>
    </row>
    <row r="97" spans="1:22" x14ac:dyDescent="0.2">
      <c r="A97">
        <v>20250208</v>
      </c>
      <c r="B97" t="s">
        <v>7</v>
      </c>
      <c r="C97" t="s">
        <v>8</v>
      </c>
      <c r="D97">
        <v>9</v>
      </c>
      <c r="E97">
        <v>74</v>
      </c>
      <c r="F97">
        <v>0</v>
      </c>
      <c r="G97">
        <v>1</v>
      </c>
      <c r="H97" s="1">
        <f t="shared" si="3"/>
        <v>45696</v>
      </c>
      <c r="I97">
        <f t="shared" si="4"/>
        <v>6</v>
      </c>
      <c r="L97" s="9" t="s">
        <v>138</v>
      </c>
      <c r="M97" cm="1">
        <f t="array" ref="M97">SUMPRODUCT((A97:A1095=$L97)*(B97:B1095="sterling silver earrings")*(D97:D1095)*(E97:E1095)) / SUMIFS(E97:E1095, A97:A1095, $L97, B97:B1095, "sterling silver earrings")</f>
        <v>0</v>
      </c>
      <c r="N97" s="7" cm="1">
        <f t="array" ref="N97">SUMPRODUCT((A97:A1095=$L97)*(B97:B1095="silver hoop earrings for women")*(D97:D1095)*(E97:E1095)) / SUMIFS(E97:E1095, A97:A1095, $L97, B97:B1095, "silver hoop earrings for women")</f>
        <v>0</v>
      </c>
      <c r="O97" s="7" t="e" cm="1">
        <f t="array" ref="O97">SUMPRODUCT((A97:A1095=$L97)*(B97:B1095="hoop earrings")*(D97:D1095)*(E97:E1095)) / SUMIFS(E97:E1095, A97:A1095, $L97, B97:B1095, "hoop earrings")</f>
        <v>#DIV/0!</v>
      </c>
      <c r="P97" s="7" t="e" cm="1">
        <f t="array" ref="P97">SUMPRODUCT((A97:A1095=$L97)*(B97:B1095="silver hoops")*(D97:D1095)*(E97:E1095)) / SUMIFS(E97:E1095, A97:A1095, $L97, B97:B1095, "silver hoops")</f>
        <v>#DIV/0!</v>
      </c>
      <c r="Q97" s="7" cm="1">
        <f t="array" ref="Q97">SUMPRODUCT((A97:A1095=$L97)*(B97:B1095="sterling silver hoop earrings")*(D97:D1095)*(E97:E1095)) / SUMIFS(E97:E1095, A97:A1095, $L97, B97:B1095, "sterling silver hoop earrings")</f>
        <v>0</v>
      </c>
      <c r="R97" s="7" t="e" cm="1">
        <f t="array" ref="R97">SUMPRODUCT((A97:A1095=$L97)*(B97:B1095="silver hoop earrings")*(D97:D1095)*(E97:E1095)) / SUMIFS(E97:E1095, A97:A1095, $L97, B97:B1095, "silver hoop earrings")</f>
        <v>#DIV/0!</v>
      </c>
      <c r="S97" s="7" t="e" cm="1">
        <f t="array" ref="S97">SUMPRODUCT((A97:A1095=$L97)*(B97:B1095="925 sterling silver earrings")*(D97:D1095)*(E97:E1095)) / SUMIFS(E97:E1095, A97:A1095, $L97, B97:B1095, "925 sterling silver earrings")</f>
        <v>#DIV/0!</v>
      </c>
      <c r="T97" s="7" t="e" cm="1">
        <f t="array" ref="T97">SUMPRODUCT((A97:A1095=$L97)*(B97:B1095="hoops")*(D97:D1095)*(E97:E1095)) / SUMIFS(E97:E1095, A97:A1095, $L97, B97:B1095, "hoops")</f>
        <v>#DIV/0!</v>
      </c>
      <c r="U97" s="7" t="e" cm="1">
        <f t="array" ref="U97">SUMPRODUCT((A97:A1095=$L97)*(B97:B1095="hoops earrings for women")*(D97:D1095)*(E97:E1095)) / SUMIFS(E97:E1095, A97:A1095, $L97, B97:B1095, "hoops earrings for women")</f>
        <v>#DIV/0!</v>
      </c>
      <c r="V97" s="7" cm="1">
        <f t="array" ref="V97">SUMPRODUCT((A97:A1095=$L97)*(B97:B1095="silver hoops earrings for women")*(D97:D1095)*(E97:E1095)) / SUMIFS(E97:E1095, A97:A1095, $L97, B97:B1095, "silver hoops earrings for women")</f>
        <v>0</v>
      </c>
    </row>
    <row r="98" spans="1:22" x14ac:dyDescent="0.2">
      <c r="A98">
        <v>20250208</v>
      </c>
      <c r="B98" t="s">
        <v>7</v>
      </c>
      <c r="C98" t="s">
        <v>17</v>
      </c>
      <c r="D98">
        <v>1</v>
      </c>
      <c r="E98">
        <v>45</v>
      </c>
      <c r="F98">
        <v>0</v>
      </c>
      <c r="G98">
        <v>0</v>
      </c>
      <c r="H98" s="1">
        <f t="shared" si="3"/>
        <v>45696</v>
      </c>
      <c r="I98">
        <f t="shared" si="4"/>
        <v>6</v>
      </c>
      <c r="L98" s="9" t="s">
        <v>139</v>
      </c>
      <c r="M98" cm="1">
        <f t="array" ref="M98">SUMPRODUCT((A98:A1096=$L98)*(B98:B1096="sterling silver earrings")*(D98:D1096)*(E98:E1096)) / SUMIFS(E98:E1096, A98:A1096, $L98, B98:B1096, "sterling silver earrings")</f>
        <v>0</v>
      </c>
      <c r="N98" s="7" cm="1">
        <f t="array" ref="N98">SUMPRODUCT((A98:A1096=$L98)*(B98:B1096="silver hoop earrings for women")*(D98:D1096)*(E98:E1096)) / SUMIFS(E98:E1096, A98:A1096, $L98, B98:B1096, "silver hoop earrings for women")</f>
        <v>0</v>
      </c>
      <c r="O98" s="7" t="e" cm="1">
        <f t="array" ref="O98">SUMPRODUCT((A98:A1096=$L98)*(B98:B1096="hoop earrings")*(D98:D1096)*(E98:E1096)) / SUMIFS(E98:E1096, A98:A1096, $L98, B98:B1096, "hoop earrings")</f>
        <v>#DIV/0!</v>
      </c>
      <c r="P98" s="7" t="e" cm="1">
        <f t="array" ref="P98">SUMPRODUCT((A98:A1096=$L98)*(B98:B1096="silver hoops")*(D98:D1096)*(E98:E1096)) / SUMIFS(E98:E1096, A98:A1096, $L98, B98:B1096, "silver hoops")</f>
        <v>#DIV/0!</v>
      </c>
      <c r="Q98" s="7" cm="1">
        <f t="array" ref="Q98">SUMPRODUCT((A98:A1096=$L98)*(B98:B1096="sterling silver hoop earrings")*(D98:D1096)*(E98:E1096)) / SUMIFS(E98:E1096, A98:A1096, $L98, B98:B1096, "sterling silver hoop earrings")</f>
        <v>0</v>
      </c>
      <c r="R98" s="7" cm="1">
        <f t="array" ref="R98">SUMPRODUCT((A98:A1096=$L98)*(B98:B1096="silver hoop earrings")*(D98:D1096)*(E98:E1096)) / SUMIFS(E98:E1096, A98:A1096, $L98, B98:B1096, "silver hoop earrings")</f>
        <v>0</v>
      </c>
      <c r="S98" s="7" t="e" cm="1">
        <f t="array" ref="S98">SUMPRODUCT((A98:A1096=$L98)*(B98:B1096="925 sterling silver earrings")*(D98:D1096)*(E98:E1096)) / SUMIFS(E98:E1096, A98:A1096, $L98, B98:B1096, "925 sterling silver earrings")</f>
        <v>#DIV/0!</v>
      </c>
      <c r="T98" s="7" t="e" cm="1">
        <f t="array" ref="T98">SUMPRODUCT((A98:A1096=$L98)*(B98:B1096="hoops")*(D98:D1096)*(E98:E1096)) / SUMIFS(E98:E1096, A98:A1096, $L98, B98:B1096, "hoops")</f>
        <v>#DIV/0!</v>
      </c>
      <c r="U98" s="7" t="e" cm="1">
        <f t="array" ref="U98">SUMPRODUCT((A98:A1096=$L98)*(B98:B1096="hoops earrings for women")*(D98:D1096)*(E98:E1096)) / SUMIFS(E98:E1096, A98:A1096, $L98, B98:B1096, "hoops earrings for women")</f>
        <v>#DIV/0!</v>
      </c>
      <c r="V98" s="7" t="e" cm="1">
        <f t="array" ref="V98">SUMPRODUCT((A98:A1096=$L98)*(B98:B1096="silver hoops earrings for women")*(D98:D1096)*(E98:E1096)) / SUMIFS(E98:E1096, A98:A1096, $L98, B98:B1096, "silver hoops earrings for women")</f>
        <v>#DIV/0!</v>
      </c>
    </row>
    <row r="99" spans="1:22" x14ac:dyDescent="0.2">
      <c r="A99">
        <v>20250209</v>
      </c>
      <c r="B99" t="s">
        <v>7</v>
      </c>
      <c r="C99" t="s">
        <v>8</v>
      </c>
      <c r="D99">
        <v>20</v>
      </c>
      <c r="E99">
        <v>60.5</v>
      </c>
      <c r="F99">
        <v>0</v>
      </c>
      <c r="G99">
        <v>0</v>
      </c>
      <c r="H99" s="1">
        <f t="shared" si="3"/>
        <v>45697</v>
      </c>
      <c r="I99">
        <f t="shared" si="4"/>
        <v>7</v>
      </c>
      <c r="L99" s="9" t="s">
        <v>140</v>
      </c>
      <c r="M99" t="e" cm="1">
        <f t="array" ref="M99">SUMPRODUCT((A99:A1097=$L99)*(B99:B1097="sterling silver earrings")*(D99:D1097)*(E99:E1097)) / SUMIFS(E99:E1097, A99:A1097, $L99, B99:B1097, "sterling silver earrings")</f>
        <v>#DIV/0!</v>
      </c>
      <c r="N99" s="7" cm="1">
        <f t="array" ref="N99">SUMPRODUCT((A99:A1097=$L99)*(B99:B1097="silver hoop earrings for women")*(D99:D1097)*(E99:E1097)) / SUMIFS(E99:E1097, A99:A1097, $L99, B99:B1097, "silver hoop earrings for women")</f>
        <v>0</v>
      </c>
      <c r="O99" s="7" t="e" cm="1">
        <f t="array" ref="O99">SUMPRODUCT((A99:A1097=$L99)*(B99:B1097="hoop earrings")*(D99:D1097)*(E99:E1097)) / SUMIFS(E99:E1097, A99:A1097, $L99, B99:B1097, "hoop earrings")</f>
        <v>#DIV/0!</v>
      </c>
      <c r="P99" s="7" t="e" cm="1">
        <f t="array" ref="P99">SUMPRODUCT((A99:A1097=$L99)*(B99:B1097="silver hoops")*(D99:D1097)*(E99:E1097)) / SUMIFS(E99:E1097, A99:A1097, $L99, B99:B1097, "silver hoops")</f>
        <v>#DIV/0!</v>
      </c>
      <c r="Q99" s="7" t="e" cm="1">
        <f t="array" ref="Q99">SUMPRODUCT((A99:A1097=$L99)*(B99:B1097="sterling silver hoop earrings")*(D99:D1097)*(E99:E1097)) / SUMIFS(E99:E1097, A99:A1097, $L99, B99:B1097, "sterling silver hoop earrings")</f>
        <v>#DIV/0!</v>
      </c>
      <c r="R99" s="7" cm="1">
        <f t="array" ref="R99">SUMPRODUCT((A99:A1097=$L99)*(B99:B1097="silver hoop earrings")*(D99:D1097)*(E99:E1097)) / SUMIFS(E99:E1097, A99:A1097, $L99, B99:B1097, "silver hoop earrings")</f>
        <v>0</v>
      </c>
      <c r="S99" s="7" t="e" cm="1">
        <f t="array" ref="S99">SUMPRODUCT((A99:A1097=$L99)*(B99:B1097="925 sterling silver earrings")*(D99:D1097)*(E99:E1097)) / SUMIFS(E99:E1097, A99:A1097, $L99, B99:B1097, "925 sterling silver earrings")</f>
        <v>#DIV/0!</v>
      </c>
      <c r="T99" s="7" t="e" cm="1">
        <f t="array" ref="T99">SUMPRODUCT((A99:A1097=$L99)*(B99:B1097="hoops")*(D99:D1097)*(E99:E1097)) / SUMIFS(E99:E1097, A99:A1097, $L99, B99:B1097, "hoops")</f>
        <v>#DIV/0!</v>
      </c>
      <c r="U99" s="7" t="e" cm="1">
        <f t="array" ref="U99">SUMPRODUCT((A99:A1097=$L99)*(B99:B1097="hoops earrings for women")*(D99:D1097)*(E99:E1097)) / SUMIFS(E99:E1097, A99:A1097, $L99, B99:B1097, "hoops earrings for women")</f>
        <v>#DIV/0!</v>
      </c>
      <c r="V99" s="7" t="e" cm="1">
        <f t="array" ref="V99">SUMPRODUCT((A99:A1097=$L99)*(B99:B1097="silver hoops earrings for women")*(D99:D1097)*(E99:E1097)) / SUMIFS(E99:E1097, A99:A1097, $L99, B99:B1097, "silver hoops earrings for women")</f>
        <v>#DIV/0!</v>
      </c>
    </row>
    <row r="100" spans="1:22" x14ac:dyDescent="0.2">
      <c r="A100">
        <v>20250210</v>
      </c>
      <c r="B100" t="s">
        <v>7</v>
      </c>
      <c r="C100" t="s">
        <v>8</v>
      </c>
      <c r="D100">
        <v>34</v>
      </c>
      <c r="E100">
        <v>73.588235294117595</v>
      </c>
      <c r="F100">
        <v>0</v>
      </c>
      <c r="G100">
        <v>3</v>
      </c>
      <c r="H100" s="1">
        <f t="shared" si="3"/>
        <v>45698</v>
      </c>
      <c r="I100">
        <f t="shared" si="4"/>
        <v>7</v>
      </c>
      <c r="L100" s="9" t="s">
        <v>141</v>
      </c>
      <c r="M100" cm="1">
        <f t="array" ref="M100">SUMPRODUCT((A100:A1098=$L100)*(B100:B1098="sterling silver earrings")*(D100:D1098)*(E100:E1098)) / SUMIFS(E100:E1098, A100:A1098, $L100, B100:B1098, "sterling silver earrings")</f>
        <v>0</v>
      </c>
      <c r="N100" s="7" t="e" cm="1">
        <f t="array" ref="N100">SUMPRODUCT((A100:A1098=$L100)*(B100:B1098="silver hoop earrings for women")*(D100:D1098)*(E100:E1098)) / SUMIFS(E100:E1098, A100:A1098, $L100, B100:B1098, "silver hoop earrings for women")</f>
        <v>#DIV/0!</v>
      </c>
      <c r="O100" s="7" t="e" cm="1">
        <f t="array" ref="O100">SUMPRODUCT((A100:A1098=$L100)*(B100:B1098="hoop earrings")*(D100:D1098)*(E100:E1098)) / SUMIFS(E100:E1098, A100:A1098, $L100, B100:B1098, "hoop earrings")</f>
        <v>#DIV/0!</v>
      </c>
      <c r="P100" s="7" t="e" cm="1">
        <f t="array" ref="P100">SUMPRODUCT((A100:A1098=$L100)*(B100:B1098="silver hoops")*(D100:D1098)*(E100:E1098)) / SUMIFS(E100:E1098, A100:A1098, $L100, B100:B1098, "silver hoops")</f>
        <v>#DIV/0!</v>
      </c>
      <c r="Q100" s="7" cm="1">
        <f t="array" ref="Q100">SUMPRODUCT((A100:A1098=$L100)*(B100:B1098="sterling silver hoop earrings")*(D100:D1098)*(E100:E1098)) / SUMIFS(E100:E1098, A100:A1098, $L100, B100:B1098, "sterling silver hoop earrings")</f>
        <v>0</v>
      </c>
      <c r="R100" s="7" t="e" cm="1">
        <f t="array" ref="R100">SUMPRODUCT((A100:A1098=$L100)*(B100:B1098="silver hoop earrings")*(D100:D1098)*(E100:E1098)) / SUMIFS(E100:E1098, A100:A1098, $L100, B100:B1098, "silver hoop earrings")</f>
        <v>#DIV/0!</v>
      </c>
      <c r="S100" s="7" t="e" cm="1">
        <f t="array" ref="S100">SUMPRODUCT((A100:A1098=$L100)*(B100:B1098="925 sterling silver earrings")*(D100:D1098)*(E100:E1098)) / SUMIFS(E100:E1098, A100:A1098, $L100, B100:B1098, "925 sterling silver earrings")</f>
        <v>#DIV/0!</v>
      </c>
      <c r="T100" s="7" t="e" cm="1">
        <f t="array" ref="T100">SUMPRODUCT((A100:A1098=$L100)*(B100:B1098="hoops")*(D100:D1098)*(E100:E1098)) / SUMIFS(E100:E1098, A100:A1098, $L100, B100:B1098, "hoops")</f>
        <v>#DIV/0!</v>
      </c>
      <c r="U100" s="7" t="e" cm="1">
        <f t="array" ref="U100">SUMPRODUCT((A100:A1098=$L100)*(B100:B1098="hoops earrings for women")*(D100:D1098)*(E100:E1098)) / SUMIFS(E100:E1098, A100:A1098, $L100, B100:B1098, "hoops earrings for women")</f>
        <v>#DIV/0!</v>
      </c>
      <c r="V100" s="7" t="e" cm="1">
        <f t="array" ref="V100">SUMPRODUCT((A100:A1098=$L100)*(B100:B1098="silver hoops earrings for women")*(D100:D1098)*(E100:E1098)) / SUMIFS(E100:E1098, A100:A1098, $L100, B100:B1098, "silver hoops earrings for women")</f>
        <v>#DIV/0!</v>
      </c>
    </row>
    <row r="101" spans="1:22" x14ac:dyDescent="0.2">
      <c r="A101">
        <v>20250210</v>
      </c>
      <c r="B101" t="s">
        <v>9</v>
      </c>
      <c r="C101" t="s">
        <v>8</v>
      </c>
      <c r="D101">
        <v>1</v>
      </c>
      <c r="E101">
        <v>40</v>
      </c>
      <c r="F101">
        <v>0</v>
      </c>
      <c r="G101">
        <v>0</v>
      </c>
      <c r="H101" s="1">
        <f t="shared" si="3"/>
        <v>45698</v>
      </c>
      <c r="I101">
        <f t="shared" si="4"/>
        <v>7</v>
      </c>
      <c r="L101" s="9" t="s">
        <v>142</v>
      </c>
      <c r="M101" t="e" cm="1">
        <f t="array" ref="M101">SUMPRODUCT((A101:A1099=$L101)*(B101:B1099="sterling silver earrings")*(D101:D1099)*(E101:E1099)) / SUMIFS(E101:E1099, A101:A1099, $L101, B101:B1099, "sterling silver earrings")</f>
        <v>#DIV/0!</v>
      </c>
      <c r="N101" s="7" cm="1">
        <f t="array" ref="N101">SUMPRODUCT((A101:A1099=$L101)*(B101:B1099="silver hoop earrings for women")*(D101:D1099)*(E101:E1099)) / SUMIFS(E101:E1099, A101:A1099, $L101, B101:B1099, "silver hoop earrings for women")</f>
        <v>0</v>
      </c>
      <c r="O101" s="7" t="e" cm="1">
        <f t="array" ref="O101">SUMPRODUCT((A101:A1099=$L101)*(B101:B1099="hoop earrings")*(D101:D1099)*(E101:E1099)) / SUMIFS(E101:E1099, A101:A1099, $L101, B101:B1099, "hoop earrings")</f>
        <v>#DIV/0!</v>
      </c>
      <c r="P101" s="7" t="e" cm="1">
        <f t="array" ref="P101">SUMPRODUCT((A101:A1099=$L101)*(B101:B1099="silver hoops")*(D101:D1099)*(E101:E1099)) / SUMIFS(E101:E1099, A101:A1099, $L101, B101:B1099, "silver hoops")</f>
        <v>#DIV/0!</v>
      </c>
      <c r="Q101" s="7" cm="1">
        <f t="array" ref="Q101">SUMPRODUCT((A101:A1099=$L101)*(B101:B1099="sterling silver hoop earrings")*(D101:D1099)*(E101:E1099)) / SUMIFS(E101:E1099, A101:A1099, $L101, B101:B1099, "sterling silver hoop earrings")</f>
        <v>0</v>
      </c>
      <c r="R101" s="7" t="e" cm="1">
        <f t="array" ref="R101">SUMPRODUCT((A101:A1099=$L101)*(B101:B1099="silver hoop earrings")*(D101:D1099)*(E101:E1099)) / SUMIFS(E101:E1099, A101:A1099, $L101, B101:B1099, "silver hoop earrings")</f>
        <v>#DIV/0!</v>
      </c>
      <c r="S101" s="7" t="e" cm="1">
        <f t="array" ref="S101">SUMPRODUCT((A101:A1099=$L101)*(B101:B1099="925 sterling silver earrings")*(D101:D1099)*(E101:E1099)) / SUMIFS(E101:E1099, A101:A1099, $L101, B101:B1099, "925 sterling silver earrings")</f>
        <v>#DIV/0!</v>
      </c>
      <c r="T101" s="7" t="e" cm="1">
        <f t="array" ref="T101">SUMPRODUCT((A101:A1099=$L101)*(B101:B1099="hoops")*(D101:D1099)*(E101:E1099)) / SUMIFS(E101:E1099, A101:A1099, $L101, B101:B1099, "hoops")</f>
        <v>#DIV/0!</v>
      </c>
      <c r="U101" s="7" t="e" cm="1">
        <f t="array" ref="U101">SUMPRODUCT((A101:A1099=$L101)*(B101:B1099="hoops earrings for women")*(D101:D1099)*(E101:E1099)) / SUMIFS(E101:E1099, A101:A1099, $L101, B101:B1099, "hoops earrings for women")</f>
        <v>#DIV/0!</v>
      </c>
      <c r="V101" s="7" t="e" cm="1">
        <f t="array" ref="V101">SUMPRODUCT((A101:A1099=$L101)*(B101:B1099="silver hoops earrings for women")*(D101:D1099)*(E101:E1099)) / SUMIFS(E101:E1099, A101:A1099, $L101, B101:B1099, "silver hoops earrings for women")</f>
        <v>#DIV/0!</v>
      </c>
    </row>
    <row r="102" spans="1:22" x14ac:dyDescent="0.2">
      <c r="A102">
        <v>20250210</v>
      </c>
      <c r="B102" t="s">
        <v>10</v>
      </c>
      <c r="C102" t="s">
        <v>8</v>
      </c>
      <c r="D102">
        <v>1</v>
      </c>
      <c r="E102">
        <v>10</v>
      </c>
      <c r="F102">
        <v>0</v>
      </c>
      <c r="G102">
        <v>0</v>
      </c>
      <c r="H102" s="1">
        <f t="shared" si="3"/>
        <v>45698</v>
      </c>
      <c r="I102">
        <f t="shared" si="4"/>
        <v>7</v>
      </c>
      <c r="L102" s="9" t="s">
        <v>143</v>
      </c>
      <c r="M102" t="e" cm="1">
        <f t="array" ref="M102">SUMPRODUCT((A102:A1100=$L102)*(B102:B1100="sterling silver earrings")*(D102:D1100)*(E102:E1100)) / SUMIFS(E102:E1100, A102:A1100, $L102, B102:B1100, "sterling silver earrings")</f>
        <v>#DIV/0!</v>
      </c>
      <c r="N102" s="7" cm="1">
        <f t="array" ref="N102">SUMPRODUCT((A102:A1100=$L102)*(B102:B1100="silver hoop earrings for women")*(D102:D1100)*(E102:E1100)) / SUMIFS(E102:E1100, A102:A1100, $L102, B102:B1100, "silver hoop earrings for women")</f>
        <v>0</v>
      </c>
      <c r="O102" s="7" t="e" cm="1">
        <f t="array" ref="O102">SUMPRODUCT((A102:A1100=$L102)*(B102:B1100="hoop earrings")*(D102:D1100)*(E102:E1100)) / SUMIFS(E102:E1100, A102:A1100, $L102, B102:B1100, "hoop earrings")</f>
        <v>#DIV/0!</v>
      </c>
      <c r="P102" s="7" t="e" cm="1">
        <f t="array" ref="P102">SUMPRODUCT((A102:A1100=$L102)*(B102:B1100="silver hoops")*(D102:D1100)*(E102:E1100)) / SUMIFS(E102:E1100, A102:A1100, $L102, B102:B1100, "silver hoops")</f>
        <v>#DIV/0!</v>
      </c>
      <c r="Q102" s="7" t="e" cm="1">
        <f t="array" ref="Q102">SUMPRODUCT((A102:A1100=$L102)*(B102:B1100="sterling silver hoop earrings")*(D102:D1100)*(E102:E1100)) / SUMIFS(E102:E1100, A102:A1100, $L102, B102:B1100, "sterling silver hoop earrings")</f>
        <v>#DIV/0!</v>
      </c>
      <c r="R102" s="7" t="e" cm="1">
        <f t="array" ref="R102">SUMPRODUCT((A102:A1100=$L102)*(B102:B1100="silver hoop earrings")*(D102:D1100)*(E102:E1100)) / SUMIFS(E102:E1100, A102:A1100, $L102, B102:B1100, "silver hoop earrings")</f>
        <v>#DIV/0!</v>
      </c>
      <c r="S102" s="7" t="e" cm="1">
        <f t="array" ref="S102">SUMPRODUCT((A102:A1100=$L102)*(B102:B1100="925 sterling silver earrings")*(D102:D1100)*(E102:E1100)) / SUMIFS(E102:E1100, A102:A1100, $L102, B102:B1100, "925 sterling silver earrings")</f>
        <v>#DIV/0!</v>
      </c>
      <c r="T102" s="7" t="e" cm="1">
        <f t="array" ref="T102">SUMPRODUCT((A102:A1100=$L102)*(B102:B1100="hoops")*(D102:D1100)*(E102:E1100)) / SUMIFS(E102:E1100, A102:A1100, $L102, B102:B1100, "hoops")</f>
        <v>#DIV/0!</v>
      </c>
      <c r="U102" s="7" t="e" cm="1">
        <f t="array" ref="U102">SUMPRODUCT((A102:A1100=$L102)*(B102:B1100="hoops earrings for women")*(D102:D1100)*(E102:E1100)) / SUMIFS(E102:E1100, A102:A1100, $L102, B102:B1100, "hoops earrings for women")</f>
        <v>#DIV/0!</v>
      </c>
      <c r="V102" s="7" t="e" cm="1">
        <f t="array" ref="V102">SUMPRODUCT((A102:A1100=$L102)*(B102:B1100="silver hoops earrings for women")*(D102:D1100)*(E102:E1100)) / SUMIFS(E102:E1100, A102:A1100, $L102, B102:B1100, "silver hoops earrings for women")</f>
        <v>#DIV/0!</v>
      </c>
    </row>
    <row r="103" spans="1:22" x14ac:dyDescent="0.2">
      <c r="A103">
        <v>20250211</v>
      </c>
      <c r="B103" t="s">
        <v>7</v>
      </c>
      <c r="C103" t="s">
        <v>8</v>
      </c>
      <c r="D103">
        <v>40</v>
      </c>
      <c r="E103">
        <v>56.7</v>
      </c>
      <c r="F103">
        <v>0</v>
      </c>
      <c r="G103">
        <v>0</v>
      </c>
      <c r="H103" s="1">
        <f t="shared" si="3"/>
        <v>45699</v>
      </c>
      <c r="I103">
        <f t="shared" si="4"/>
        <v>7</v>
      </c>
      <c r="L103" s="9" t="s">
        <v>144</v>
      </c>
      <c r="M103" cm="1">
        <f t="array" ref="M103">SUMPRODUCT((A103:A1101=$L103)*(B103:B1101="sterling silver earrings")*(D103:D1101)*(E103:E1101)) / SUMIFS(E103:E1101, A103:A1101, $L103, B103:B1101, "sterling silver earrings")</f>
        <v>0</v>
      </c>
      <c r="N103" s="7" t="e" cm="1">
        <f t="array" ref="N103">SUMPRODUCT((A103:A1101=$L103)*(B103:B1101="silver hoop earrings for women")*(D103:D1101)*(E103:E1101)) / SUMIFS(E103:E1101, A103:A1101, $L103, B103:B1101, "silver hoop earrings for women")</f>
        <v>#DIV/0!</v>
      </c>
      <c r="O103" s="7" t="e" cm="1">
        <f t="array" ref="O103">SUMPRODUCT((A103:A1101=$L103)*(B103:B1101="hoop earrings")*(D103:D1101)*(E103:E1101)) / SUMIFS(E103:E1101, A103:A1101, $L103, B103:B1101, "hoop earrings")</f>
        <v>#DIV/0!</v>
      </c>
      <c r="P103" s="7" t="e" cm="1">
        <f t="array" ref="P103">SUMPRODUCT((A103:A1101=$L103)*(B103:B1101="silver hoops")*(D103:D1101)*(E103:E1101)) / SUMIFS(E103:E1101, A103:A1101, $L103, B103:B1101, "silver hoops")</f>
        <v>#DIV/0!</v>
      </c>
      <c r="Q103" s="7" t="e" cm="1">
        <f t="array" ref="Q103">SUMPRODUCT((A103:A1101=$L103)*(B103:B1101="sterling silver hoop earrings")*(D103:D1101)*(E103:E1101)) / SUMIFS(E103:E1101, A103:A1101, $L103, B103:B1101, "sterling silver hoop earrings")</f>
        <v>#DIV/0!</v>
      </c>
      <c r="R103" s="7" cm="1">
        <f t="array" ref="R103">SUMPRODUCT((A103:A1101=$L103)*(B103:B1101="silver hoop earrings")*(D103:D1101)*(E103:E1101)) / SUMIFS(E103:E1101, A103:A1101, $L103, B103:B1101, "silver hoop earrings")</f>
        <v>0</v>
      </c>
      <c r="S103" s="7" cm="1">
        <f t="array" ref="S103">SUMPRODUCT((A103:A1101=$L103)*(B103:B1101="925 sterling silver earrings")*(D103:D1101)*(E103:E1101)) / SUMIFS(E103:E1101, A103:A1101, $L103, B103:B1101, "925 sterling silver earrings")</f>
        <v>0</v>
      </c>
      <c r="T103" s="7" t="e" cm="1">
        <f t="array" ref="T103">SUMPRODUCT((A103:A1101=$L103)*(B103:B1101="hoops")*(D103:D1101)*(E103:E1101)) / SUMIFS(E103:E1101, A103:A1101, $L103, B103:B1101, "hoops")</f>
        <v>#DIV/0!</v>
      </c>
      <c r="U103" s="7" t="e" cm="1">
        <f t="array" ref="U103">SUMPRODUCT((A103:A1101=$L103)*(B103:B1101="hoops earrings for women")*(D103:D1101)*(E103:E1101)) / SUMIFS(E103:E1101, A103:A1101, $L103, B103:B1101, "hoops earrings for women")</f>
        <v>#DIV/0!</v>
      </c>
      <c r="V103" s="7" t="e" cm="1">
        <f t="array" ref="V103">SUMPRODUCT((A103:A1101=$L103)*(B103:B1101="silver hoops earrings for women")*(D103:D1101)*(E103:E1101)) / SUMIFS(E103:E1101, A103:A1101, $L103, B103:B1101, "silver hoops earrings for women")</f>
        <v>#DIV/0!</v>
      </c>
    </row>
    <row r="104" spans="1:22" x14ac:dyDescent="0.2">
      <c r="A104">
        <v>20250212</v>
      </c>
      <c r="B104" t="s">
        <v>7</v>
      </c>
      <c r="C104" t="s">
        <v>8</v>
      </c>
      <c r="D104">
        <v>30</v>
      </c>
      <c r="E104">
        <v>64.133333333333297</v>
      </c>
      <c r="F104">
        <v>0</v>
      </c>
      <c r="G104">
        <v>3</v>
      </c>
      <c r="H104" s="1">
        <f t="shared" si="3"/>
        <v>45700</v>
      </c>
      <c r="I104">
        <f t="shared" si="4"/>
        <v>7</v>
      </c>
      <c r="L104" s="9" t="s">
        <v>145</v>
      </c>
      <c r="M104" t="e" cm="1">
        <f t="array" ref="M104">SUMPRODUCT((A104:A1102=$L104)*(B104:B1102="sterling silver earrings")*(D104:D1102)*(E104:E1102)) / SUMIFS(E104:E1102, A104:A1102, $L104, B104:B1102, "sterling silver earrings")</f>
        <v>#DIV/0!</v>
      </c>
      <c r="N104" s="7" cm="1">
        <f t="array" ref="N104">SUMPRODUCT((A104:A1102=$L104)*(B104:B1102="silver hoop earrings for women")*(D104:D1102)*(E104:E1102)) / SUMIFS(E104:E1102, A104:A1102, $L104, B104:B1102, "silver hoop earrings for women")</f>
        <v>0</v>
      </c>
      <c r="O104" s="7" t="e" cm="1">
        <f t="array" ref="O104">SUMPRODUCT((A104:A1102=$L104)*(B104:B1102="hoop earrings")*(D104:D1102)*(E104:E1102)) / SUMIFS(E104:E1102, A104:A1102, $L104, B104:B1102, "hoop earrings")</f>
        <v>#DIV/0!</v>
      </c>
      <c r="P104" s="7" t="e" cm="1">
        <f t="array" ref="P104">SUMPRODUCT((A104:A1102=$L104)*(B104:B1102="silver hoops")*(D104:D1102)*(E104:E1102)) / SUMIFS(E104:E1102, A104:A1102, $L104, B104:B1102, "silver hoops")</f>
        <v>#DIV/0!</v>
      </c>
      <c r="Q104" s="7" cm="1">
        <f t="array" ref="Q104">SUMPRODUCT((A104:A1102=$L104)*(B104:B1102="sterling silver hoop earrings")*(D104:D1102)*(E104:E1102)) / SUMIFS(E104:E1102, A104:A1102, $L104, B104:B1102, "sterling silver hoop earrings")</f>
        <v>0</v>
      </c>
      <c r="R104" s="7" t="e" cm="1">
        <f t="array" ref="R104">SUMPRODUCT((A104:A1102=$L104)*(B104:B1102="silver hoop earrings")*(D104:D1102)*(E104:E1102)) / SUMIFS(E104:E1102, A104:A1102, $L104, B104:B1102, "silver hoop earrings")</f>
        <v>#DIV/0!</v>
      </c>
      <c r="S104" s="7" t="e" cm="1">
        <f t="array" ref="S104">SUMPRODUCT((A104:A1102=$L104)*(B104:B1102="925 sterling silver earrings")*(D104:D1102)*(E104:E1102)) / SUMIFS(E104:E1102, A104:A1102, $L104, B104:B1102, "925 sterling silver earrings")</f>
        <v>#DIV/0!</v>
      </c>
      <c r="T104" s="7" t="e" cm="1">
        <f t="array" ref="T104">SUMPRODUCT((A104:A1102=$L104)*(B104:B1102="hoops")*(D104:D1102)*(E104:E1102)) / SUMIFS(E104:E1102, A104:A1102, $L104, B104:B1102, "hoops")</f>
        <v>#DIV/0!</v>
      </c>
      <c r="U104" s="7" t="e" cm="1">
        <f t="array" ref="U104">SUMPRODUCT((A104:A1102=$L104)*(B104:B1102="hoops earrings for women")*(D104:D1102)*(E104:E1102)) / SUMIFS(E104:E1102, A104:A1102, $L104, B104:B1102, "hoops earrings for women")</f>
        <v>#DIV/0!</v>
      </c>
      <c r="V104" s="7" t="e" cm="1">
        <f t="array" ref="V104">SUMPRODUCT((A104:A1102=$L104)*(B104:B1102="silver hoops earrings for women")*(D104:D1102)*(E104:E1102)) / SUMIFS(E104:E1102, A104:A1102, $L104, B104:B1102, "silver hoops earrings for women")</f>
        <v>#DIV/0!</v>
      </c>
    </row>
    <row r="105" spans="1:22" x14ac:dyDescent="0.2">
      <c r="A105">
        <v>20250213</v>
      </c>
      <c r="B105" t="s">
        <v>12</v>
      </c>
      <c r="C105" t="s">
        <v>8</v>
      </c>
      <c r="D105">
        <v>2</v>
      </c>
      <c r="E105">
        <v>1</v>
      </c>
      <c r="F105">
        <v>0</v>
      </c>
      <c r="G105">
        <v>0</v>
      </c>
      <c r="H105" s="1">
        <f t="shared" si="3"/>
        <v>45701</v>
      </c>
      <c r="I105">
        <f t="shared" si="4"/>
        <v>7</v>
      </c>
      <c r="L105" s="9" t="s">
        <v>146</v>
      </c>
      <c r="M105" t="e" cm="1">
        <f t="array" ref="M105">SUMPRODUCT((A105:A1103=$L105)*(B105:B1103="sterling silver earrings")*(D105:D1103)*(E105:E1103)) / SUMIFS(E105:E1103, A105:A1103, $L105, B105:B1103, "sterling silver earrings")</f>
        <v>#DIV/0!</v>
      </c>
      <c r="N105" s="7" cm="1">
        <f t="array" ref="N105">SUMPRODUCT((A105:A1103=$L105)*(B105:B1103="silver hoop earrings for women")*(D105:D1103)*(E105:E1103)) / SUMIFS(E105:E1103, A105:A1103, $L105, B105:B1103, "silver hoop earrings for women")</f>
        <v>0</v>
      </c>
      <c r="O105" s="7" cm="1">
        <f t="array" ref="O105">SUMPRODUCT((A105:A1103=$L105)*(B105:B1103="hoop earrings")*(D105:D1103)*(E105:E1103)) / SUMIFS(E105:E1103, A105:A1103, $L105, B105:B1103, "hoop earrings")</f>
        <v>0</v>
      </c>
      <c r="P105" s="7" t="e" cm="1">
        <f t="array" ref="P105">SUMPRODUCT((A105:A1103=$L105)*(B105:B1103="silver hoops")*(D105:D1103)*(E105:E1103)) / SUMIFS(E105:E1103, A105:A1103, $L105, B105:B1103, "silver hoops")</f>
        <v>#DIV/0!</v>
      </c>
      <c r="Q105" s="7" cm="1">
        <f t="array" ref="Q105">SUMPRODUCT((A105:A1103=$L105)*(B105:B1103="sterling silver hoop earrings")*(D105:D1103)*(E105:E1103)) / SUMIFS(E105:E1103, A105:A1103, $L105, B105:B1103, "sterling silver hoop earrings")</f>
        <v>0</v>
      </c>
      <c r="R105" s="7" cm="1">
        <f t="array" ref="R105">SUMPRODUCT((A105:A1103=$L105)*(B105:B1103="silver hoop earrings")*(D105:D1103)*(E105:E1103)) / SUMIFS(E105:E1103, A105:A1103, $L105, B105:B1103, "silver hoop earrings")</f>
        <v>0</v>
      </c>
      <c r="S105" s="7" t="e" cm="1">
        <f t="array" ref="S105">SUMPRODUCT((A105:A1103=$L105)*(B105:B1103="925 sterling silver earrings")*(D105:D1103)*(E105:E1103)) / SUMIFS(E105:E1103, A105:A1103, $L105, B105:B1103, "925 sterling silver earrings")</f>
        <v>#DIV/0!</v>
      </c>
      <c r="T105" s="7" t="e" cm="1">
        <f t="array" ref="T105">SUMPRODUCT((A105:A1103=$L105)*(B105:B1103="hoops")*(D105:D1103)*(E105:E1103)) / SUMIFS(E105:E1103, A105:A1103, $L105, B105:B1103, "hoops")</f>
        <v>#DIV/0!</v>
      </c>
      <c r="U105" s="7" t="e" cm="1">
        <f t="array" ref="U105">SUMPRODUCT((A105:A1103=$L105)*(B105:B1103="hoops earrings for women")*(D105:D1103)*(E105:E1103)) / SUMIFS(E105:E1103, A105:A1103, $L105, B105:B1103, "hoops earrings for women")</f>
        <v>#DIV/0!</v>
      </c>
      <c r="V105" s="7" t="e" cm="1">
        <f t="array" ref="V105">SUMPRODUCT((A105:A1103=$L105)*(B105:B1103="silver hoops earrings for women")*(D105:D1103)*(E105:E1103)) / SUMIFS(E105:E1103, A105:A1103, $L105, B105:B1103, "silver hoops earrings for women")</f>
        <v>#DIV/0!</v>
      </c>
    </row>
    <row r="106" spans="1:22" x14ac:dyDescent="0.2">
      <c r="A106">
        <v>20250213</v>
      </c>
      <c r="B106" t="s">
        <v>7</v>
      </c>
      <c r="C106" t="s">
        <v>8</v>
      </c>
      <c r="D106">
        <v>24</v>
      </c>
      <c r="E106">
        <v>65.875</v>
      </c>
      <c r="F106">
        <v>0</v>
      </c>
      <c r="G106">
        <v>0</v>
      </c>
      <c r="H106" s="1">
        <f t="shared" si="3"/>
        <v>45701</v>
      </c>
      <c r="I106">
        <f t="shared" si="4"/>
        <v>7</v>
      </c>
      <c r="L106" s="9" t="s">
        <v>147</v>
      </c>
      <c r="M106" cm="1">
        <f t="array" ref="M106">SUMPRODUCT((A106:A1104=$L106)*(B106:B1104="sterling silver earrings")*(D106:D1104)*(E106:E1104)) / SUMIFS(E106:E1104, A106:A1104, $L106, B106:B1104, "sterling silver earrings")</f>
        <v>0</v>
      </c>
      <c r="N106" s="7" cm="1">
        <f t="array" ref="N106">SUMPRODUCT((A106:A1104=$L106)*(B106:B1104="silver hoop earrings for women")*(D106:D1104)*(E106:E1104)) / SUMIFS(E106:E1104, A106:A1104, $L106, B106:B1104, "silver hoop earrings for women")</f>
        <v>0</v>
      </c>
      <c r="O106" s="7" t="e" cm="1">
        <f t="array" ref="O106">SUMPRODUCT((A106:A1104=$L106)*(B106:B1104="hoop earrings")*(D106:D1104)*(E106:E1104)) / SUMIFS(E106:E1104, A106:A1104, $L106, B106:B1104, "hoop earrings")</f>
        <v>#DIV/0!</v>
      </c>
      <c r="P106" s="7" t="e" cm="1">
        <f t="array" ref="P106">SUMPRODUCT((A106:A1104=$L106)*(B106:B1104="silver hoops")*(D106:D1104)*(E106:E1104)) / SUMIFS(E106:E1104, A106:A1104, $L106, B106:B1104, "silver hoops")</f>
        <v>#DIV/0!</v>
      </c>
      <c r="Q106" s="7" cm="1">
        <f t="array" ref="Q106">SUMPRODUCT((A106:A1104=$L106)*(B106:B1104="sterling silver hoop earrings")*(D106:D1104)*(E106:E1104)) / SUMIFS(E106:E1104, A106:A1104, $L106, B106:B1104, "sterling silver hoop earrings")</f>
        <v>0</v>
      </c>
      <c r="R106" s="7" t="e" cm="1">
        <f t="array" ref="R106">SUMPRODUCT((A106:A1104=$L106)*(B106:B1104="silver hoop earrings")*(D106:D1104)*(E106:E1104)) / SUMIFS(E106:E1104, A106:A1104, $L106, B106:B1104, "silver hoop earrings")</f>
        <v>#DIV/0!</v>
      </c>
      <c r="S106" s="7" t="e" cm="1">
        <f t="array" ref="S106">SUMPRODUCT((A106:A1104=$L106)*(B106:B1104="925 sterling silver earrings")*(D106:D1104)*(E106:E1104)) / SUMIFS(E106:E1104, A106:A1104, $L106, B106:B1104, "925 sterling silver earrings")</f>
        <v>#DIV/0!</v>
      </c>
      <c r="T106" s="7" t="e" cm="1">
        <f t="array" ref="T106">SUMPRODUCT((A106:A1104=$L106)*(B106:B1104="hoops")*(D106:D1104)*(E106:E1104)) / SUMIFS(E106:E1104, A106:A1104, $L106, B106:B1104, "hoops")</f>
        <v>#DIV/0!</v>
      </c>
      <c r="U106" s="7" t="e" cm="1">
        <f t="array" ref="U106">SUMPRODUCT((A106:A1104=$L106)*(B106:B1104="hoops earrings for women")*(D106:D1104)*(E106:E1104)) / SUMIFS(E106:E1104, A106:A1104, $L106, B106:B1104, "hoops earrings for women")</f>
        <v>#DIV/0!</v>
      </c>
      <c r="V106" s="7" t="e" cm="1">
        <f t="array" ref="V106">SUMPRODUCT((A106:A1104=$L106)*(B106:B1104="silver hoops earrings for women")*(D106:D1104)*(E106:E1104)) / SUMIFS(E106:E1104, A106:A1104, $L106, B106:B1104, "silver hoops earrings for women")</f>
        <v>#DIV/0!</v>
      </c>
    </row>
    <row r="107" spans="1:22" x14ac:dyDescent="0.2">
      <c r="A107">
        <v>20250213</v>
      </c>
      <c r="B107" t="s">
        <v>9</v>
      </c>
      <c r="C107" t="s">
        <v>8</v>
      </c>
      <c r="D107">
        <v>2</v>
      </c>
      <c r="E107">
        <v>2</v>
      </c>
      <c r="F107">
        <v>0</v>
      </c>
      <c r="G107">
        <v>0</v>
      </c>
      <c r="H107" s="1">
        <f t="shared" si="3"/>
        <v>45701</v>
      </c>
      <c r="I107">
        <f t="shared" si="4"/>
        <v>7</v>
      </c>
      <c r="L107" s="9" t="s">
        <v>148</v>
      </c>
      <c r="M107" cm="1">
        <f t="array" ref="M107">SUMPRODUCT((A107:A1105=$L107)*(B107:B1105="sterling silver earrings")*(D107:D1105)*(E107:E1105)) / SUMIFS(E107:E1105, A107:A1105, $L107, B107:B1105, "sterling silver earrings")</f>
        <v>0</v>
      </c>
      <c r="N107" s="7" cm="1">
        <f t="array" ref="N107">SUMPRODUCT((A107:A1105=$L107)*(B107:B1105="silver hoop earrings for women")*(D107:D1105)*(E107:E1105)) / SUMIFS(E107:E1105, A107:A1105, $L107, B107:B1105, "silver hoop earrings for women")</f>
        <v>0</v>
      </c>
      <c r="O107" s="7" t="e" cm="1">
        <f t="array" ref="O107">SUMPRODUCT((A107:A1105=$L107)*(B107:B1105="hoop earrings")*(D107:D1105)*(E107:E1105)) / SUMIFS(E107:E1105, A107:A1105, $L107, B107:B1105, "hoop earrings")</f>
        <v>#DIV/0!</v>
      </c>
      <c r="P107" s="7" t="e" cm="1">
        <f t="array" ref="P107">SUMPRODUCT((A107:A1105=$L107)*(B107:B1105="silver hoops")*(D107:D1105)*(E107:E1105)) / SUMIFS(E107:E1105, A107:A1105, $L107, B107:B1105, "silver hoops")</f>
        <v>#DIV/0!</v>
      </c>
      <c r="Q107" s="7" t="e" cm="1">
        <f t="array" ref="Q107">SUMPRODUCT((A107:A1105=$L107)*(B107:B1105="sterling silver hoop earrings")*(D107:D1105)*(E107:E1105)) / SUMIFS(E107:E1105, A107:A1105, $L107, B107:B1105, "sterling silver hoop earrings")</f>
        <v>#DIV/0!</v>
      </c>
      <c r="R107" s="7" t="e" cm="1">
        <f t="array" ref="R107">SUMPRODUCT((A107:A1105=$L107)*(B107:B1105="silver hoop earrings")*(D107:D1105)*(E107:E1105)) / SUMIFS(E107:E1105, A107:A1105, $L107, B107:B1105, "silver hoop earrings")</f>
        <v>#DIV/0!</v>
      </c>
      <c r="S107" s="7" t="e" cm="1">
        <f t="array" ref="S107">SUMPRODUCT((A107:A1105=$L107)*(B107:B1105="925 sterling silver earrings")*(D107:D1105)*(E107:E1105)) / SUMIFS(E107:E1105, A107:A1105, $L107, B107:B1105, "925 sterling silver earrings")</f>
        <v>#DIV/0!</v>
      </c>
      <c r="T107" s="7" t="e" cm="1">
        <f t="array" ref="T107">SUMPRODUCT((A107:A1105=$L107)*(B107:B1105="hoops")*(D107:D1105)*(E107:E1105)) / SUMIFS(E107:E1105, A107:A1105, $L107, B107:B1105, "hoops")</f>
        <v>#DIV/0!</v>
      </c>
      <c r="U107" s="7" t="e" cm="1">
        <f t="array" ref="U107">SUMPRODUCT((A107:A1105=$L107)*(B107:B1105="hoops earrings for women")*(D107:D1105)*(E107:E1105)) / SUMIFS(E107:E1105, A107:A1105, $L107, B107:B1105, "hoops earrings for women")</f>
        <v>#DIV/0!</v>
      </c>
      <c r="V107" s="7" cm="1">
        <f t="array" ref="V107">SUMPRODUCT((A107:A1105=$L107)*(B107:B1105="silver hoops earrings for women")*(D107:D1105)*(E107:E1105)) / SUMIFS(E107:E1105, A107:A1105, $L107, B107:B1105, "silver hoops earrings for women")</f>
        <v>0</v>
      </c>
    </row>
    <row r="108" spans="1:22" x14ac:dyDescent="0.2">
      <c r="A108">
        <v>20250213</v>
      </c>
      <c r="B108" t="s">
        <v>10</v>
      </c>
      <c r="C108" t="s">
        <v>8</v>
      </c>
      <c r="D108">
        <v>1</v>
      </c>
      <c r="E108">
        <v>2</v>
      </c>
      <c r="F108">
        <v>0</v>
      </c>
      <c r="G108">
        <v>2</v>
      </c>
      <c r="H108" s="1">
        <f t="shared" si="3"/>
        <v>45701</v>
      </c>
      <c r="I108">
        <f t="shared" si="4"/>
        <v>7</v>
      </c>
      <c r="L108" s="9" t="s">
        <v>149</v>
      </c>
      <c r="M108" cm="1">
        <f t="array" ref="M108">SUMPRODUCT((A108:A1106=$L108)*(B108:B1106="sterling silver earrings")*(D108:D1106)*(E108:E1106)) / SUMIFS(E108:E1106, A108:A1106, $L108, B108:B1106, "sterling silver earrings")</f>
        <v>0</v>
      </c>
      <c r="N108" s="7" t="e" cm="1">
        <f t="array" ref="N108">SUMPRODUCT((A108:A1106=$L108)*(B108:B1106="silver hoop earrings for women")*(D108:D1106)*(E108:E1106)) / SUMIFS(E108:E1106, A108:A1106, $L108, B108:B1106, "silver hoop earrings for women")</f>
        <v>#DIV/0!</v>
      </c>
      <c r="O108" s="7" t="e" cm="1">
        <f t="array" ref="O108">SUMPRODUCT((A108:A1106=$L108)*(B108:B1106="hoop earrings")*(D108:D1106)*(E108:E1106)) / SUMIFS(E108:E1106, A108:A1106, $L108, B108:B1106, "hoop earrings")</f>
        <v>#DIV/0!</v>
      </c>
      <c r="P108" s="7" t="e" cm="1">
        <f t="array" ref="P108">SUMPRODUCT((A108:A1106=$L108)*(B108:B1106="silver hoops")*(D108:D1106)*(E108:E1106)) / SUMIFS(E108:E1106, A108:A1106, $L108, B108:B1106, "silver hoops")</f>
        <v>#DIV/0!</v>
      </c>
      <c r="Q108" s="7" t="e" cm="1">
        <f t="array" ref="Q108">SUMPRODUCT((A108:A1106=$L108)*(B108:B1106="sterling silver hoop earrings")*(D108:D1106)*(E108:E1106)) / SUMIFS(E108:E1106, A108:A1106, $L108, B108:B1106, "sterling silver hoop earrings")</f>
        <v>#DIV/0!</v>
      </c>
      <c r="R108" s="7" t="e" cm="1">
        <f t="array" ref="R108">SUMPRODUCT((A108:A1106=$L108)*(B108:B1106="silver hoop earrings")*(D108:D1106)*(E108:E1106)) / SUMIFS(E108:E1106, A108:A1106, $L108, B108:B1106, "silver hoop earrings")</f>
        <v>#DIV/0!</v>
      </c>
      <c r="S108" s="7" t="e" cm="1">
        <f t="array" ref="S108">SUMPRODUCT((A108:A1106=$L108)*(B108:B1106="925 sterling silver earrings")*(D108:D1106)*(E108:E1106)) / SUMIFS(E108:E1106, A108:A1106, $L108, B108:B1106, "925 sterling silver earrings")</f>
        <v>#DIV/0!</v>
      </c>
      <c r="T108" s="7" t="e" cm="1">
        <f t="array" ref="T108">SUMPRODUCT((A108:A1106=$L108)*(B108:B1106="hoops")*(D108:D1106)*(E108:E1106)) / SUMIFS(E108:E1106, A108:A1106, $L108, B108:B1106, "hoops")</f>
        <v>#DIV/0!</v>
      </c>
      <c r="U108" s="7" t="e" cm="1">
        <f t="array" ref="U108">SUMPRODUCT((A108:A1106=$L108)*(B108:B1106="hoops earrings for women")*(D108:D1106)*(E108:E1106)) / SUMIFS(E108:E1106, A108:A1106, $L108, B108:B1106, "hoops earrings for women")</f>
        <v>#DIV/0!</v>
      </c>
      <c r="V108" s="7" t="e" cm="1">
        <f t="array" ref="V108">SUMPRODUCT((A108:A1106=$L108)*(B108:B1106="silver hoops earrings for women")*(D108:D1106)*(E108:E1106)) / SUMIFS(E108:E1106, A108:A1106, $L108, B108:B1106, "silver hoops earrings for women")</f>
        <v>#DIV/0!</v>
      </c>
    </row>
    <row r="109" spans="1:22" x14ac:dyDescent="0.2">
      <c r="A109">
        <v>20250214</v>
      </c>
      <c r="B109" t="s">
        <v>7</v>
      </c>
      <c r="C109" t="s">
        <v>8</v>
      </c>
      <c r="D109">
        <v>23</v>
      </c>
      <c r="E109">
        <v>45.565217391304301</v>
      </c>
      <c r="F109">
        <v>0</v>
      </c>
      <c r="G109">
        <v>0</v>
      </c>
      <c r="H109" s="1">
        <f t="shared" si="3"/>
        <v>45702</v>
      </c>
      <c r="I109">
        <f t="shared" si="4"/>
        <v>7</v>
      </c>
      <c r="L109" s="9" t="s">
        <v>150</v>
      </c>
      <c r="M109" t="e" cm="1">
        <f t="array" ref="M109">SUMPRODUCT((A109:A1107=$L109)*(B109:B1107="sterling silver earrings")*(D109:D1107)*(E109:E1107)) / SUMIFS(E109:E1107, A109:A1107, $L109, B109:B1107, "sterling silver earrings")</f>
        <v>#DIV/0!</v>
      </c>
      <c r="N109" s="7" cm="1">
        <f t="array" ref="N109">SUMPRODUCT((A109:A1107=$L109)*(B109:B1107="silver hoop earrings for women")*(D109:D1107)*(E109:E1107)) / SUMIFS(E109:E1107, A109:A1107, $L109, B109:B1107, "silver hoop earrings for women")</f>
        <v>0</v>
      </c>
      <c r="O109" s="7" t="e" cm="1">
        <f t="array" ref="O109">SUMPRODUCT((A109:A1107=$L109)*(B109:B1107="hoop earrings")*(D109:D1107)*(E109:E1107)) / SUMIFS(E109:E1107, A109:A1107, $L109, B109:B1107, "hoop earrings")</f>
        <v>#DIV/0!</v>
      </c>
      <c r="P109" s="7" t="e" cm="1">
        <f t="array" ref="P109">SUMPRODUCT((A109:A1107=$L109)*(B109:B1107="silver hoops")*(D109:D1107)*(E109:E1107)) / SUMIFS(E109:E1107, A109:A1107, $L109, B109:B1107, "silver hoops")</f>
        <v>#DIV/0!</v>
      </c>
      <c r="Q109" s="7" cm="1">
        <f t="array" ref="Q109">SUMPRODUCT((A109:A1107=$L109)*(B109:B1107="sterling silver hoop earrings")*(D109:D1107)*(E109:E1107)) / SUMIFS(E109:E1107, A109:A1107, $L109, B109:B1107, "sterling silver hoop earrings")</f>
        <v>0</v>
      </c>
      <c r="R109" s="7" t="e" cm="1">
        <f t="array" ref="R109">SUMPRODUCT((A109:A1107=$L109)*(B109:B1107="silver hoop earrings")*(D109:D1107)*(E109:E1107)) / SUMIFS(E109:E1107, A109:A1107, $L109, B109:B1107, "silver hoop earrings")</f>
        <v>#DIV/0!</v>
      </c>
      <c r="S109" s="7" t="e" cm="1">
        <f t="array" ref="S109">SUMPRODUCT((A109:A1107=$L109)*(B109:B1107="925 sterling silver earrings")*(D109:D1107)*(E109:E1107)) / SUMIFS(E109:E1107, A109:A1107, $L109, B109:B1107, "925 sterling silver earrings")</f>
        <v>#DIV/0!</v>
      </c>
      <c r="T109" s="7" t="e" cm="1">
        <f t="array" ref="T109">SUMPRODUCT((A109:A1107=$L109)*(B109:B1107="hoops")*(D109:D1107)*(E109:E1107)) / SUMIFS(E109:E1107, A109:A1107, $L109, B109:B1107, "hoops")</f>
        <v>#DIV/0!</v>
      </c>
      <c r="U109" s="7" t="e" cm="1">
        <f t="array" ref="U109">SUMPRODUCT((A109:A1107=$L109)*(B109:B1107="hoops earrings for women")*(D109:D1107)*(E109:E1107)) / SUMIFS(E109:E1107, A109:A1107, $L109, B109:B1107, "hoops earrings for women")</f>
        <v>#DIV/0!</v>
      </c>
      <c r="V109" s="7" t="e" cm="1">
        <f t="array" ref="V109">SUMPRODUCT((A109:A1107=$L109)*(B109:B1107="silver hoops earrings for women")*(D109:D1107)*(E109:E1107)) / SUMIFS(E109:E1107, A109:A1107, $L109, B109:B1107, "silver hoops earrings for women")</f>
        <v>#DIV/0!</v>
      </c>
    </row>
    <row r="110" spans="1:22" x14ac:dyDescent="0.2">
      <c r="A110">
        <v>20250214</v>
      </c>
      <c r="B110" t="s">
        <v>9</v>
      </c>
      <c r="C110" t="s">
        <v>8</v>
      </c>
      <c r="D110">
        <v>1</v>
      </c>
      <c r="E110">
        <v>42</v>
      </c>
      <c r="F110">
        <v>0</v>
      </c>
      <c r="G110">
        <v>0</v>
      </c>
      <c r="H110" s="1">
        <f t="shared" si="3"/>
        <v>45702</v>
      </c>
      <c r="I110">
        <f t="shared" si="4"/>
        <v>7</v>
      </c>
      <c r="L110" s="9" t="s">
        <v>151</v>
      </c>
      <c r="M110" t="e" cm="1">
        <f t="array" ref="M110">SUMPRODUCT((A110:A1108=$L110)*(B110:B1108="sterling silver earrings")*(D110:D1108)*(E110:E1108)) / SUMIFS(E110:E1108, A110:A1108, $L110, B110:B1108, "sterling silver earrings")</f>
        <v>#DIV/0!</v>
      </c>
      <c r="N110" s="7" cm="1">
        <f t="array" ref="N110">SUMPRODUCT((A110:A1108=$L110)*(B110:B1108="silver hoop earrings for women")*(D110:D1108)*(E110:E1108)) / SUMIFS(E110:E1108, A110:A1108, $L110, B110:B1108, "silver hoop earrings for women")</f>
        <v>0</v>
      </c>
      <c r="O110" s="7" t="e" cm="1">
        <f t="array" ref="O110">SUMPRODUCT((A110:A1108=$L110)*(B110:B1108="hoop earrings")*(D110:D1108)*(E110:E1108)) / SUMIFS(E110:E1108, A110:A1108, $L110, B110:B1108, "hoop earrings")</f>
        <v>#DIV/0!</v>
      </c>
      <c r="P110" s="7" t="e" cm="1">
        <f t="array" ref="P110">SUMPRODUCT((A110:A1108=$L110)*(B110:B1108="silver hoops")*(D110:D1108)*(E110:E1108)) / SUMIFS(E110:E1108, A110:A1108, $L110, B110:B1108, "silver hoops")</f>
        <v>#DIV/0!</v>
      </c>
      <c r="Q110" s="7" t="e" cm="1">
        <f t="array" ref="Q110">SUMPRODUCT((A110:A1108=$L110)*(B110:B1108="sterling silver hoop earrings")*(D110:D1108)*(E110:E1108)) / SUMIFS(E110:E1108, A110:A1108, $L110, B110:B1108, "sterling silver hoop earrings")</f>
        <v>#DIV/0!</v>
      </c>
      <c r="R110" s="7" t="e" cm="1">
        <f t="array" ref="R110">SUMPRODUCT((A110:A1108=$L110)*(B110:B1108="silver hoop earrings")*(D110:D1108)*(E110:E1108)) / SUMIFS(E110:E1108, A110:A1108, $L110, B110:B1108, "silver hoop earrings")</f>
        <v>#DIV/0!</v>
      </c>
      <c r="S110" s="7" t="e" cm="1">
        <f t="array" ref="S110">SUMPRODUCT((A110:A1108=$L110)*(B110:B1108="925 sterling silver earrings")*(D110:D1108)*(E110:E1108)) / SUMIFS(E110:E1108, A110:A1108, $L110, B110:B1108, "925 sterling silver earrings")</f>
        <v>#DIV/0!</v>
      </c>
      <c r="T110" s="7" t="e" cm="1">
        <f t="array" ref="T110">SUMPRODUCT((A110:A1108=$L110)*(B110:B1108="hoops")*(D110:D1108)*(E110:E1108)) / SUMIFS(E110:E1108, A110:A1108, $L110, B110:B1108, "hoops")</f>
        <v>#DIV/0!</v>
      </c>
      <c r="U110" s="7" t="e" cm="1">
        <f t="array" ref="U110">SUMPRODUCT((A110:A1108=$L110)*(B110:B1108="hoops earrings for women")*(D110:D1108)*(E110:E1108)) / SUMIFS(E110:E1108, A110:A1108, $L110, B110:B1108, "hoops earrings for women")</f>
        <v>#DIV/0!</v>
      </c>
      <c r="V110" s="7" t="e" cm="1">
        <f t="array" ref="V110">SUMPRODUCT((A110:A1108=$L110)*(B110:B1108="silver hoops earrings for women")*(D110:D1108)*(E110:E1108)) / SUMIFS(E110:E1108, A110:A1108, $L110, B110:B1108, "silver hoops earrings for women")</f>
        <v>#DIV/0!</v>
      </c>
    </row>
    <row r="111" spans="1:22" x14ac:dyDescent="0.2">
      <c r="A111">
        <v>20250215</v>
      </c>
      <c r="B111" t="s">
        <v>7</v>
      </c>
      <c r="C111" t="s">
        <v>8</v>
      </c>
      <c r="D111">
        <v>25</v>
      </c>
      <c r="E111">
        <v>41.64</v>
      </c>
      <c r="F111">
        <v>0</v>
      </c>
      <c r="G111">
        <v>0</v>
      </c>
      <c r="H111" s="1">
        <f t="shared" si="3"/>
        <v>45703</v>
      </c>
      <c r="I111">
        <f t="shared" si="4"/>
        <v>7</v>
      </c>
      <c r="L111" s="9" t="s">
        <v>152</v>
      </c>
      <c r="M111" t="e" cm="1">
        <f t="array" ref="M111">SUMPRODUCT((A111:A1109=$L111)*(B111:B1109="sterling silver earrings")*(D111:D1109)*(E111:E1109)) / SUMIFS(E111:E1109, A111:A1109, $L111, B111:B1109, "sterling silver earrings")</f>
        <v>#DIV/0!</v>
      </c>
      <c r="N111" s="7" cm="1">
        <f t="array" ref="N111">SUMPRODUCT((A111:A1109=$L111)*(B111:B1109="silver hoop earrings for women")*(D111:D1109)*(E111:E1109)) / SUMIFS(E111:E1109, A111:A1109, $L111, B111:B1109, "silver hoop earrings for women")</f>
        <v>0</v>
      </c>
      <c r="O111" s="7" t="e" cm="1">
        <f t="array" ref="O111">SUMPRODUCT((A111:A1109=$L111)*(B111:B1109="hoop earrings")*(D111:D1109)*(E111:E1109)) / SUMIFS(E111:E1109, A111:A1109, $L111, B111:B1109, "hoop earrings")</f>
        <v>#DIV/0!</v>
      </c>
      <c r="P111" s="7" t="e" cm="1">
        <f t="array" ref="P111">SUMPRODUCT((A111:A1109=$L111)*(B111:B1109="silver hoops")*(D111:D1109)*(E111:E1109)) / SUMIFS(E111:E1109, A111:A1109, $L111, B111:B1109, "silver hoops")</f>
        <v>#DIV/0!</v>
      </c>
      <c r="Q111" s="7" cm="1">
        <f t="array" ref="Q111">SUMPRODUCT((A111:A1109=$L111)*(B111:B1109="sterling silver hoop earrings")*(D111:D1109)*(E111:E1109)) / SUMIFS(E111:E1109, A111:A1109, $L111, B111:B1109, "sterling silver hoop earrings")</f>
        <v>0</v>
      </c>
      <c r="R111" s="7" cm="1">
        <f t="array" ref="R111">SUMPRODUCT((A111:A1109=$L111)*(B111:B1109="silver hoop earrings")*(D111:D1109)*(E111:E1109)) / SUMIFS(E111:E1109, A111:A1109, $L111, B111:B1109, "silver hoop earrings")</f>
        <v>0</v>
      </c>
      <c r="S111" s="7" t="e" cm="1">
        <f t="array" ref="S111">SUMPRODUCT((A111:A1109=$L111)*(B111:B1109="925 sterling silver earrings")*(D111:D1109)*(E111:E1109)) / SUMIFS(E111:E1109, A111:A1109, $L111, B111:B1109, "925 sterling silver earrings")</f>
        <v>#DIV/0!</v>
      </c>
      <c r="T111" s="7" t="e" cm="1">
        <f t="array" ref="T111">SUMPRODUCT((A111:A1109=$L111)*(B111:B1109="hoops")*(D111:D1109)*(E111:E1109)) / SUMIFS(E111:E1109, A111:A1109, $L111, B111:B1109, "hoops")</f>
        <v>#DIV/0!</v>
      </c>
      <c r="U111" s="7" t="e" cm="1">
        <f t="array" ref="U111">SUMPRODUCT((A111:A1109=$L111)*(B111:B1109="hoops earrings for women")*(D111:D1109)*(E111:E1109)) / SUMIFS(E111:E1109, A111:A1109, $L111, B111:B1109, "hoops earrings for women")</f>
        <v>#DIV/0!</v>
      </c>
      <c r="V111" s="7" t="e" cm="1">
        <f t="array" ref="V111">SUMPRODUCT((A111:A1109=$L111)*(B111:B1109="silver hoops earrings for women")*(D111:D1109)*(E111:E1109)) / SUMIFS(E111:E1109, A111:A1109, $L111, B111:B1109, "silver hoops earrings for women")</f>
        <v>#DIV/0!</v>
      </c>
    </row>
    <row r="112" spans="1:22" x14ac:dyDescent="0.2">
      <c r="A112">
        <v>20250215</v>
      </c>
      <c r="B112" t="s">
        <v>10</v>
      </c>
      <c r="C112" t="s">
        <v>24</v>
      </c>
      <c r="D112">
        <v>3</v>
      </c>
      <c r="E112">
        <v>14.3333333333333</v>
      </c>
      <c r="F112">
        <v>0</v>
      </c>
      <c r="G112">
        <v>0</v>
      </c>
      <c r="H112" s="1">
        <f t="shared" si="3"/>
        <v>45703</v>
      </c>
      <c r="I112">
        <f t="shared" si="4"/>
        <v>7</v>
      </c>
      <c r="L112" s="9" t="s">
        <v>153</v>
      </c>
      <c r="M112" t="e" cm="1">
        <f t="array" ref="M112">SUMPRODUCT((A112:A1110=$L112)*(B112:B1110="sterling silver earrings")*(D112:D1110)*(E112:E1110)) / SUMIFS(E112:E1110, A112:A1110, $L112, B112:B1110, "sterling silver earrings")</f>
        <v>#DIV/0!</v>
      </c>
      <c r="N112" s="7" cm="1">
        <f t="array" ref="N112">SUMPRODUCT((A112:A1110=$L112)*(B112:B1110="silver hoop earrings for women")*(D112:D1110)*(E112:E1110)) / SUMIFS(E112:E1110, A112:A1110, $L112, B112:B1110, "silver hoop earrings for women")</f>
        <v>0</v>
      </c>
      <c r="O112" s="7" t="e" cm="1">
        <f t="array" ref="O112">SUMPRODUCT((A112:A1110=$L112)*(B112:B1110="hoop earrings")*(D112:D1110)*(E112:E1110)) / SUMIFS(E112:E1110, A112:A1110, $L112, B112:B1110, "hoop earrings")</f>
        <v>#DIV/0!</v>
      </c>
      <c r="P112" s="7" t="e" cm="1">
        <f t="array" ref="P112">SUMPRODUCT((A112:A1110=$L112)*(B112:B1110="silver hoops")*(D112:D1110)*(E112:E1110)) / SUMIFS(E112:E1110, A112:A1110, $L112, B112:B1110, "silver hoops")</f>
        <v>#DIV/0!</v>
      </c>
      <c r="Q112" s="7" cm="1">
        <f t="array" ref="Q112">SUMPRODUCT((A112:A1110=$L112)*(B112:B1110="sterling silver hoop earrings")*(D112:D1110)*(E112:E1110)) / SUMIFS(E112:E1110, A112:A1110, $L112, B112:B1110, "sterling silver hoop earrings")</f>
        <v>0</v>
      </c>
      <c r="R112" s="7" t="e" cm="1">
        <f t="array" ref="R112">SUMPRODUCT((A112:A1110=$L112)*(B112:B1110="silver hoop earrings")*(D112:D1110)*(E112:E1110)) / SUMIFS(E112:E1110, A112:A1110, $L112, B112:B1110, "silver hoop earrings")</f>
        <v>#DIV/0!</v>
      </c>
      <c r="S112" s="7" t="e" cm="1">
        <f t="array" ref="S112">SUMPRODUCT((A112:A1110=$L112)*(B112:B1110="925 sterling silver earrings")*(D112:D1110)*(E112:E1110)) / SUMIFS(E112:E1110, A112:A1110, $L112, B112:B1110, "925 sterling silver earrings")</f>
        <v>#DIV/0!</v>
      </c>
      <c r="T112" s="7" t="e" cm="1">
        <f t="array" ref="T112">SUMPRODUCT((A112:A1110=$L112)*(B112:B1110="hoops")*(D112:D1110)*(E112:E1110)) / SUMIFS(E112:E1110, A112:A1110, $L112, B112:B1110, "hoops")</f>
        <v>#DIV/0!</v>
      </c>
      <c r="U112" s="7" t="e" cm="1">
        <f t="array" ref="U112">SUMPRODUCT((A112:A1110=$L112)*(B112:B1110="hoops earrings for women")*(D112:D1110)*(E112:E1110)) / SUMIFS(E112:E1110, A112:A1110, $L112, B112:B1110, "hoops earrings for women")</f>
        <v>#DIV/0!</v>
      </c>
      <c r="V112" s="7" t="e" cm="1">
        <f t="array" ref="V112">SUMPRODUCT((A112:A1110=$L112)*(B112:B1110="silver hoops earrings for women")*(D112:D1110)*(E112:E1110)) / SUMIFS(E112:E1110, A112:A1110, $L112, B112:B1110, "silver hoops earrings for women")</f>
        <v>#DIV/0!</v>
      </c>
    </row>
    <row r="113" spans="1:22" x14ac:dyDescent="0.2">
      <c r="A113">
        <v>20250215</v>
      </c>
      <c r="B113" t="s">
        <v>10</v>
      </c>
      <c r="C113" t="s">
        <v>8</v>
      </c>
      <c r="D113">
        <v>1</v>
      </c>
      <c r="E113">
        <v>15</v>
      </c>
      <c r="F113">
        <v>0</v>
      </c>
      <c r="G113">
        <v>0</v>
      </c>
      <c r="H113" s="1">
        <f t="shared" si="3"/>
        <v>45703</v>
      </c>
      <c r="I113">
        <f t="shared" si="4"/>
        <v>7</v>
      </c>
      <c r="L113" s="9" t="s">
        <v>154</v>
      </c>
      <c r="M113" t="e" cm="1">
        <f t="array" ref="M113">SUMPRODUCT((A113:A1111=$L113)*(B113:B1111="sterling silver earrings")*(D113:D1111)*(E113:E1111)) / SUMIFS(E113:E1111, A113:A1111, $L113, B113:B1111, "sterling silver earrings")</f>
        <v>#DIV/0!</v>
      </c>
      <c r="N113" s="7" cm="1">
        <f t="array" ref="N113">SUMPRODUCT((A113:A1111=$L113)*(B113:B1111="silver hoop earrings for women")*(D113:D1111)*(E113:E1111)) / SUMIFS(E113:E1111, A113:A1111, $L113, B113:B1111, "silver hoop earrings for women")</f>
        <v>0</v>
      </c>
      <c r="O113" s="7" t="e" cm="1">
        <f t="array" ref="O113">SUMPRODUCT((A113:A1111=$L113)*(B113:B1111="hoop earrings")*(D113:D1111)*(E113:E1111)) / SUMIFS(E113:E1111, A113:A1111, $L113, B113:B1111, "hoop earrings")</f>
        <v>#DIV/0!</v>
      </c>
      <c r="P113" s="7" t="e" cm="1">
        <f t="array" ref="P113">SUMPRODUCT((A113:A1111=$L113)*(B113:B1111="silver hoops")*(D113:D1111)*(E113:E1111)) / SUMIFS(E113:E1111, A113:A1111, $L113, B113:B1111, "silver hoops")</f>
        <v>#DIV/0!</v>
      </c>
      <c r="Q113" s="7" t="e" cm="1">
        <f t="array" ref="Q113">SUMPRODUCT((A113:A1111=$L113)*(B113:B1111="sterling silver hoop earrings")*(D113:D1111)*(E113:E1111)) / SUMIFS(E113:E1111, A113:A1111, $L113, B113:B1111, "sterling silver hoop earrings")</f>
        <v>#DIV/0!</v>
      </c>
      <c r="R113" s="7" t="e" cm="1">
        <f t="array" ref="R113">SUMPRODUCT((A113:A1111=$L113)*(B113:B1111="silver hoop earrings")*(D113:D1111)*(E113:E1111)) / SUMIFS(E113:E1111, A113:A1111, $L113, B113:B1111, "silver hoop earrings")</f>
        <v>#DIV/0!</v>
      </c>
      <c r="S113" s="7" t="e" cm="1">
        <f t="array" ref="S113">SUMPRODUCT((A113:A1111=$L113)*(B113:B1111="925 sterling silver earrings")*(D113:D1111)*(E113:E1111)) / SUMIFS(E113:E1111, A113:A1111, $L113, B113:B1111, "925 sterling silver earrings")</f>
        <v>#DIV/0!</v>
      </c>
      <c r="T113" s="7" t="e" cm="1">
        <f t="array" ref="T113">SUMPRODUCT((A113:A1111=$L113)*(B113:B1111="hoops")*(D113:D1111)*(E113:E1111)) / SUMIFS(E113:E1111, A113:A1111, $L113, B113:B1111, "hoops")</f>
        <v>#DIV/0!</v>
      </c>
      <c r="U113" s="7" t="e" cm="1">
        <f t="array" ref="U113">SUMPRODUCT((A113:A1111=$L113)*(B113:B1111="hoops earrings for women")*(D113:D1111)*(E113:E1111)) / SUMIFS(E113:E1111, A113:A1111, $L113, B113:B1111, "hoops earrings for women")</f>
        <v>#DIV/0!</v>
      </c>
      <c r="V113" s="7" t="e" cm="1">
        <f t="array" ref="V113">SUMPRODUCT((A113:A1111=$L113)*(B113:B1111="silver hoops earrings for women")*(D113:D1111)*(E113:E1111)) / SUMIFS(E113:E1111, A113:A1111, $L113, B113:B1111, "silver hoops earrings for women")</f>
        <v>#DIV/0!</v>
      </c>
    </row>
    <row r="114" spans="1:22" x14ac:dyDescent="0.2">
      <c r="A114">
        <v>20250216</v>
      </c>
      <c r="B114" t="s">
        <v>16</v>
      </c>
      <c r="C114" t="s">
        <v>8</v>
      </c>
      <c r="D114">
        <v>2</v>
      </c>
      <c r="E114">
        <v>74</v>
      </c>
      <c r="F114">
        <v>0</v>
      </c>
      <c r="G114">
        <v>0</v>
      </c>
      <c r="H114" s="1">
        <f t="shared" si="3"/>
        <v>45704</v>
      </c>
      <c r="I114">
        <f t="shared" si="4"/>
        <v>8</v>
      </c>
      <c r="L114" s="9" t="s">
        <v>155</v>
      </c>
      <c r="M114" cm="1">
        <f t="array" ref="M114">SUMPRODUCT((A114:A1112=$L114)*(B114:B1112="sterling silver earrings")*(D114:D1112)*(E114:E1112)) / SUMIFS(E114:E1112, A114:A1112, $L114, B114:B1112, "sterling silver earrings")</f>
        <v>0</v>
      </c>
      <c r="N114" s="7" t="e" cm="1">
        <f t="array" ref="N114">SUMPRODUCT((A114:A1112=$L114)*(B114:B1112="silver hoop earrings for women")*(D114:D1112)*(E114:E1112)) / SUMIFS(E114:E1112, A114:A1112, $L114, B114:B1112, "silver hoop earrings for women")</f>
        <v>#DIV/0!</v>
      </c>
      <c r="O114" s="7" t="e" cm="1">
        <f t="array" ref="O114">SUMPRODUCT((A114:A1112=$L114)*(B114:B1112="hoop earrings")*(D114:D1112)*(E114:E1112)) / SUMIFS(E114:E1112, A114:A1112, $L114, B114:B1112, "hoop earrings")</f>
        <v>#DIV/0!</v>
      </c>
      <c r="P114" s="7" t="e" cm="1">
        <f t="array" ref="P114">SUMPRODUCT((A114:A1112=$L114)*(B114:B1112="silver hoops")*(D114:D1112)*(E114:E1112)) / SUMIFS(E114:E1112, A114:A1112, $L114, B114:B1112, "silver hoops")</f>
        <v>#DIV/0!</v>
      </c>
      <c r="Q114" s="7" cm="1">
        <f t="array" ref="Q114">SUMPRODUCT((A114:A1112=$L114)*(B114:B1112="sterling silver hoop earrings")*(D114:D1112)*(E114:E1112)) / SUMIFS(E114:E1112, A114:A1112, $L114, B114:B1112, "sterling silver hoop earrings")</f>
        <v>0</v>
      </c>
      <c r="R114" s="7" t="e" cm="1">
        <f t="array" ref="R114">SUMPRODUCT((A114:A1112=$L114)*(B114:B1112="silver hoop earrings")*(D114:D1112)*(E114:E1112)) / SUMIFS(E114:E1112, A114:A1112, $L114, B114:B1112, "silver hoop earrings")</f>
        <v>#DIV/0!</v>
      </c>
      <c r="S114" s="7" cm="1">
        <f t="array" ref="S114">SUMPRODUCT((A114:A1112=$L114)*(B114:B1112="925 sterling silver earrings")*(D114:D1112)*(E114:E1112)) / SUMIFS(E114:E1112, A114:A1112, $L114, B114:B1112, "925 sterling silver earrings")</f>
        <v>0</v>
      </c>
      <c r="T114" s="7" t="e" cm="1">
        <f t="array" ref="T114">SUMPRODUCT((A114:A1112=$L114)*(B114:B1112="hoops")*(D114:D1112)*(E114:E1112)) / SUMIFS(E114:E1112, A114:A1112, $L114, B114:B1112, "hoops")</f>
        <v>#DIV/0!</v>
      </c>
      <c r="U114" s="7" t="e" cm="1">
        <f t="array" ref="U114">SUMPRODUCT((A114:A1112=$L114)*(B114:B1112="hoops earrings for women")*(D114:D1112)*(E114:E1112)) / SUMIFS(E114:E1112, A114:A1112, $L114, B114:B1112, "hoops earrings for women")</f>
        <v>#DIV/0!</v>
      </c>
      <c r="V114" s="7" t="e" cm="1">
        <f t="array" ref="V114">SUMPRODUCT((A114:A1112=$L114)*(B114:B1112="silver hoops earrings for women")*(D114:D1112)*(E114:E1112)) / SUMIFS(E114:E1112, A114:A1112, $L114, B114:B1112, "silver hoops earrings for women")</f>
        <v>#DIV/0!</v>
      </c>
    </row>
    <row r="115" spans="1:22" x14ac:dyDescent="0.2">
      <c r="A115">
        <v>20250216</v>
      </c>
      <c r="B115" t="s">
        <v>7</v>
      </c>
      <c r="C115" t="s">
        <v>8</v>
      </c>
      <c r="D115">
        <v>17</v>
      </c>
      <c r="E115">
        <v>59.764705882352899</v>
      </c>
      <c r="F115">
        <v>0</v>
      </c>
      <c r="G115">
        <v>0</v>
      </c>
      <c r="H115" s="1">
        <f t="shared" si="3"/>
        <v>45704</v>
      </c>
      <c r="I115">
        <f t="shared" si="4"/>
        <v>8</v>
      </c>
      <c r="L115" s="9" t="s">
        <v>156</v>
      </c>
      <c r="M115" t="e" cm="1">
        <f t="array" ref="M115">SUMPRODUCT((A115:A1113=$L115)*(B115:B1113="sterling silver earrings")*(D115:D1113)*(E115:E1113)) / SUMIFS(E115:E1113, A115:A1113, $L115, B115:B1113, "sterling silver earrings")</f>
        <v>#DIV/0!</v>
      </c>
      <c r="N115" s="7" t="e" cm="1">
        <f t="array" ref="N115">SUMPRODUCT((A115:A1113=$L115)*(B115:B1113="silver hoop earrings for women")*(D115:D1113)*(E115:E1113)) / SUMIFS(E115:E1113, A115:A1113, $L115, B115:B1113, "silver hoop earrings for women")</f>
        <v>#DIV/0!</v>
      </c>
      <c r="O115" s="7" t="e" cm="1">
        <f t="array" ref="O115">SUMPRODUCT((A115:A1113=$L115)*(B115:B1113="hoop earrings")*(D115:D1113)*(E115:E1113)) / SUMIFS(E115:E1113, A115:A1113, $L115, B115:B1113, "hoop earrings")</f>
        <v>#DIV/0!</v>
      </c>
      <c r="P115" s="7" t="e" cm="1">
        <f t="array" ref="P115">SUMPRODUCT((A115:A1113=$L115)*(B115:B1113="silver hoops")*(D115:D1113)*(E115:E1113)) / SUMIFS(E115:E1113, A115:A1113, $L115, B115:B1113, "silver hoops")</f>
        <v>#DIV/0!</v>
      </c>
      <c r="Q115" s="7" cm="1">
        <f t="array" ref="Q115">SUMPRODUCT((A115:A1113=$L115)*(B115:B1113="sterling silver hoop earrings")*(D115:D1113)*(E115:E1113)) / SUMIFS(E115:E1113, A115:A1113, $L115, B115:B1113, "sterling silver hoop earrings")</f>
        <v>0</v>
      </c>
      <c r="R115" s="7" cm="1">
        <f t="array" ref="R115">SUMPRODUCT((A115:A1113=$L115)*(B115:B1113="silver hoop earrings")*(D115:D1113)*(E115:E1113)) / SUMIFS(E115:E1113, A115:A1113, $L115, B115:B1113, "silver hoop earrings")</f>
        <v>0</v>
      </c>
      <c r="S115" s="7" t="e" cm="1">
        <f t="array" ref="S115">SUMPRODUCT((A115:A1113=$L115)*(B115:B1113="925 sterling silver earrings")*(D115:D1113)*(E115:E1113)) / SUMIFS(E115:E1113, A115:A1113, $L115, B115:B1113, "925 sterling silver earrings")</f>
        <v>#DIV/0!</v>
      </c>
      <c r="T115" s="7" t="e" cm="1">
        <f t="array" ref="T115">SUMPRODUCT((A115:A1113=$L115)*(B115:B1113="hoops")*(D115:D1113)*(E115:E1113)) / SUMIFS(E115:E1113, A115:A1113, $L115, B115:B1113, "hoops")</f>
        <v>#DIV/0!</v>
      </c>
      <c r="U115" s="7" t="e" cm="1">
        <f t="array" ref="U115">SUMPRODUCT((A115:A1113=$L115)*(B115:B1113="hoops earrings for women")*(D115:D1113)*(E115:E1113)) / SUMIFS(E115:E1113, A115:A1113, $L115, B115:B1113, "hoops earrings for women")</f>
        <v>#DIV/0!</v>
      </c>
      <c r="V115" s="7" t="e" cm="1">
        <f t="array" ref="V115">SUMPRODUCT((A115:A1113=$L115)*(B115:B1113="silver hoops earrings for women")*(D115:D1113)*(E115:E1113)) / SUMIFS(E115:E1113, A115:A1113, $L115, B115:B1113, "silver hoops earrings for women")</f>
        <v>#DIV/0!</v>
      </c>
    </row>
    <row r="116" spans="1:22" x14ac:dyDescent="0.2">
      <c r="A116">
        <v>20250216</v>
      </c>
      <c r="B116" t="s">
        <v>7</v>
      </c>
      <c r="C116" t="s">
        <v>17</v>
      </c>
      <c r="D116">
        <v>1</v>
      </c>
      <c r="E116">
        <v>38</v>
      </c>
      <c r="F116">
        <v>0</v>
      </c>
      <c r="G116">
        <v>0</v>
      </c>
      <c r="H116" s="1">
        <f t="shared" si="3"/>
        <v>45704</v>
      </c>
      <c r="I116">
        <f t="shared" si="4"/>
        <v>8</v>
      </c>
      <c r="L116" s="9" t="s">
        <v>157</v>
      </c>
      <c r="M116" t="e" cm="1">
        <f t="array" ref="M116">SUMPRODUCT((A116:A1114=$L116)*(B116:B1114="sterling silver earrings")*(D116:D1114)*(E116:E1114)) / SUMIFS(E116:E1114, A116:A1114, $L116, B116:B1114, "sterling silver earrings")</f>
        <v>#DIV/0!</v>
      </c>
      <c r="N116" s="7" cm="1">
        <f t="array" ref="N116">SUMPRODUCT((A116:A1114=$L116)*(B116:B1114="silver hoop earrings for women")*(D116:D1114)*(E116:E1114)) / SUMIFS(E116:E1114, A116:A1114, $L116, B116:B1114, "silver hoop earrings for women")</f>
        <v>0</v>
      </c>
      <c r="O116" s="7" t="e" cm="1">
        <f t="array" ref="O116">SUMPRODUCT((A116:A1114=$L116)*(B116:B1114="hoop earrings")*(D116:D1114)*(E116:E1114)) / SUMIFS(E116:E1114, A116:A1114, $L116, B116:B1114, "hoop earrings")</f>
        <v>#DIV/0!</v>
      </c>
      <c r="P116" s="7" t="e" cm="1">
        <f t="array" ref="P116">SUMPRODUCT((A116:A1114=$L116)*(B116:B1114="silver hoops")*(D116:D1114)*(E116:E1114)) / SUMIFS(E116:E1114, A116:A1114, $L116, B116:B1114, "silver hoops")</f>
        <v>#DIV/0!</v>
      </c>
      <c r="Q116" s="7" cm="1">
        <f t="array" ref="Q116">SUMPRODUCT((A116:A1114=$L116)*(B116:B1114="sterling silver hoop earrings")*(D116:D1114)*(E116:E1114)) / SUMIFS(E116:E1114, A116:A1114, $L116, B116:B1114, "sterling silver hoop earrings")</f>
        <v>0</v>
      </c>
      <c r="R116" s="7" t="e" cm="1">
        <f t="array" ref="R116">SUMPRODUCT((A116:A1114=$L116)*(B116:B1114="silver hoop earrings")*(D116:D1114)*(E116:E1114)) / SUMIFS(E116:E1114, A116:A1114, $L116, B116:B1114, "silver hoop earrings")</f>
        <v>#DIV/0!</v>
      </c>
      <c r="S116" s="7" t="e" cm="1">
        <f t="array" ref="S116">SUMPRODUCT((A116:A1114=$L116)*(B116:B1114="925 sterling silver earrings")*(D116:D1114)*(E116:E1114)) / SUMIFS(E116:E1114, A116:A1114, $L116, B116:B1114, "925 sterling silver earrings")</f>
        <v>#DIV/0!</v>
      </c>
      <c r="T116" s="7" t="e" cm="1">
        <f t="array" ref="T116">SUMPRODUCT((A116:A1114=$L116)*(B116:B1114="hoops")*(D116:D1114)*(E116:E1114)) / SUMIFS(E116:E1114, A116:A1114, $L116, B116:B1114, "hoops")</f>
        <v>#DIV/0!</v>
      </c>
      <c r="U116" s="7" t="e" cm="1">
        <f t="array" ref="U116">SUMPRODUCT((A116:A1114=$L116)*(B116:B1114="hoops earrings for women")*(D116:D1114)*(E116:E1114)) / SUMIFS(E116:E1114, A116:A1114, $L116, B116:B1114, "hoops earrings for women")</f>
        <v>#DIV/0!</v>
      </c>
      <c r="V116" s="7" t="e" cm="1">
        <f t="array" ref="V116">SUMPRODUCT((A116:A1114=$L116)*(B116:B1114="silver hoops earrings for women")*(D116:D1114)*(E116:E1114)) / SUMIFS(E116:E1114, A116:A1114, $L116, B116:B1114, "silver hoops earrings for women")</f>
        <v>#DIV/0!</v>
      </c>
    </row>
    <row r="117" spans="1:22" x14ac:dyDescent="0.2">
      <c r="A117">
        <v>20250216</v>
      </c>
      <c r="B117" t="s">
        <v>23</v>
      </c>
      <c r="C117" t="s">
        <v>8</v>
      </c>
      <c r="D117">
        <v>1</v>
      </c>
      <c r="E117">
        <v>1</v>
      </c>
      <c r="F117">
        <v>0</v>
      </c>
      <c r="G117">
        <v>0</v>
      </c>
      <c r="H117" s="1">
        <f t="shared" si="3"/>
        <v>45704</v>
      </c>
      <c r="I117">
        <f t="shared" si="4"/>
        <v>8</v>
      </c>
      <c r="L117" s="9" t="s">
        <v>158</v>
      </c>
      <c r="M117" t="e" cm="1">
        <f t="array" ref="M117">SUMPRODUCT((A117:A1115=$L117)*(B117:B1115="sterling silver earrings")*(D117:D1115)*(E117:E1115)) / SUMIFS(E117:E1115, A117:A1115, $L117, B117:B1115, "sterling silver earrings")</f>
        <v>#DIV/0!</v>
      </c>
      <c r="N117" s="7" t="e" cm="1">
        <f t="array" ref="N117">SUMPRODUCT((A117:A1115=$L117)*(B117:B1115="silver hoop earrings for women")*(D117:D1115)*(E117:E1115)) / SUMIFS(E117:E1115, A117:A1115, $L117, B117:B1115, "silver hoop earrings for women")</f>
        <v>#DIV/0!</v>
      </c>
      <c r="O117" s="7" t="e" cm="1">
        <f t="array" ref="O117">SUMPRODUCT((A117:A1115=$L117)*(B117:B1115="hoop earrings")*(D117:D1115)*(E117:E1115)) / SUMIFS(E117:E1115, A117:A1115, $L117, B117:B1115, "hoop earrings")</f>
        <v>#DIV/0!</v>
      </c>
      <c r="P117" s="7" t="e" cm="1">
        <f t="array" ref="P117">SUMPRODUCT((A117:A1115=$L117)*(B117:B1115="silver hoops")*(D117:D1115)*(E117:E1115)) / SUMIFS(E117:E1115, A117:A1115, $L117, B117:B1115, "silver hoops")</f>
        <v>#DIV/0!</v>
      </c>
      <c r="Q117" s="7" cm="1">
        <f t="array" ref="Q117">SUMPRODUCT((A117:A1115=$L117)*(B117:B1115="sterling silver hoop earrings")*(D117:D1115)*(E117:E1115)) / SUMIFS(E117:E1115, A117:A1115, $L117, B117:B1115, "sterling silver hoop earrings")</f>
        <v>0</v>
      </c>
      <c r="R117" s="7" t="e" cm="1">
        <f t="array" ref="R117">SUMPRODUCT((A117:A1115=$L117)*(B117:B1115="silver hoop earrings")*(D117:D1115)*(E117:E1115)) / SUMIFS(E117:E1115, A117:A1115, $L117, B117:B1115, "silver hoop earrings")</f>
        <v>#DIV/0!</v>
      </c>
      <c r="S117" s="7" t="e" cm="1">
        <f t="array" ref="S117">SUMPRODUCT((A117:A1115=$L117)*(B117:B1115="925 sterling silver earrings")*(D117:D1115)*(E117:E1115)) / SUMIFS(E117:E1115, A117:A1115, $L117, B117:B1115, "925 sterling silver earrings")</f>
        <v>#DIV/0!</v>
      </c>
      <c r="T117" s="7" t="e" cm="1">
        <f t="array" ref="T117">SUMPRODUCT((A117:A1115=$L117)*(B117:B1115="hoops")*(D117:D1115)*(E117:E1115)) / SUMIFS(E117:E1115, A117:A1115, $L117, B117:B1115, "hoops")</f>
        <v>#DIV/0!</v>
      </c>
      <c r="U117" s="7" t="e" cm="1">
        <f t="array" ref="U117">SUMPRODUCT((A117:A1115=$L117)*(B117:B1115="hoops earrings for women")*(D117:D1115)*(E117:E1115)) / SUMIFS(E117:E1115, A117:A1115, $L117, B117:B1115, "hoops earrings for women")</f>
        <v>#DIV/0!</v>
      </c>
      <c r="V117" s="7" t="e" cm="1">
        <f t="array" ref="V117">SUMPRODUCT((A117:A1115=$L117)*(B117:B1115="silver hoops earrings for women")*(D117:D1115)*(E117:E1115)) / SUMIFS(E117:E1115, A117:A1115, $L117, B117:B1115, "silver hoops earrings for women")</f>
        <v>#DIV/0!</v>
      </c>
    </row>
    <row r="118" spans="1:22" x14ac:dyDescent="0.2">
      <c r="A118">
        <v>20250216</v>
      </c>
      <c r="B118" t="s">
        <v>10</v>
      </c>
      <c r="C118" t="s">
        <v>8</v>
      </c>
      <c r="D118">
        <v>1</v>
      </c>
      <c r="E118">
        <v>32</v>
      </c>
      <c r="F118">
        <v>0</v>
      </c>
      <c r="G118">
        <v>0</v>
      </c>
      <c r="H118" s="1">
        <f t="shared" si="3"/>
        <v>45704</v>
      </c>
      <c r="I118">
        <f t="shared" si="4"/>
        <v>8</v>
      </c>
      <c r="L118" s="9" t="s">
        <v>159</v>
      </c>
      <c r="M118" t="e" cm="1">
        <f t="array" ref="M118">SUMPRODUCT((A118:A1116=$L118)*(B118:B1116="sterling silver earrings")*(D118:D1116)*(E118:E1116)) / SUMIFS(E118:E1116, A118:A1116, $L118, B118:B1116, "sterling silver earrings")</f>
        <v>#DIV/0!</v>
      </c>
      <c r="N118" s="7" t="e" cm="1">
        <f t="array" ref="N118">SUMPRODUCT((A118:A1116=$L118)*(B118:B1116="silver hoop earrings for women")*(D118:D1116)*(E118:E1116)) / SUMIFS(E118:E1116, A118:A1116, $L118, B118:B1116, "silver hoop earrings for women")</f>
        <v>#DIV/0!</v>
      </c>
      <c r="O118" s="7" t="e" cm="1">
        <f t="array" ref="O118">SUMPRODUCT((A118:A1116=$L118)*(B118:B1116="hoop earrings")*(D118:D1116)*(E118:E1116)) / SUMIFS(E118:E1116, A118:A1116, $L118, B118:B1116, "hoop earrings")</f>
        <v>#DIV/0!</v>
      </c>
      <c r="P118" s="7" t="e" cm="1">
        <f t="array" ref="P118">SUMPRODUCT((A118:A1116=$L118)*(B118:B1116="silver hoops")*(D118:D1116)*(E118:E1116)) / SUMIFS(E118:E1116, A118:A1116, $L118, B118:B1116, "silver hoops")</f>
        <v>#DIV/0!</v>
      </c>
      <c r="Q118" s="7" cm="1">
        <f t="array" ref="Q118">SUMPRODUCT((A118:A1116=$L118)*(B118:B1116="sterling silver hoop earrings")*(D118:D1116)*(E118:E1116)) / SUMIFS(E118:E1116, A118:A1116, $L118, B118:B1116, "sterling silver hoop earrings")</f>
        <v>0</v>
      </c>
      <c r="R118" s="7" cm="1">
        <f t="array" ref="R118">SUMPRODUCT((A118:A1116=$L118)*(B118:B1116="silver hoop earrings")*(D118:D1116)*(E118:E1116)) / SUMIFS(E118:E1116, A118:A1116, $L118, B118:B1116, "silver hoop earrings")</f>
        <v>0</v>
      </c>
      <c r="S118" s="7" t="e" cm="1">
        <f t="array" ref="S118">SUMPRODUCT((A118:A1116=$L118)*(B118:B1116="925 sterling silver earrings")*(D118:D1116)*(E118:E1116)) / SUMIFS(E118:E1116, A118:A1116, $L118, B118:B1116, "925 sterling silver earrings")</f>
        <v>#DIV/0!</v>
      </c>
      <c r="T118" s="7" t="e" cm="1">
        <f t="array" ref="T118">SUMPRODUCT((A118:A1116=$L118)*(B118:B1116="hoops")*(D118:D1116)*(E118:E1116)) / SUMIFS(E118:E1116, A118:A1116, $L118, B118:B1116, "hoops")</f>
        <v>#DIV/0!</v>
      </c>
      <c r="U118" s="7" t="e" cm="1">
        <f t="array" ref="U118">SUMPRODUCT((A118:A1116=$L118)*(B118:B1116="hoops earrings for women")*(D118:D1116)*(E118:E1116)) / SUMIFS(E118:E1116, A118:A1116, $L118, B118:B1116, "hoops earrings for women")</f>
        <v>#DIV/0!</v>
      </c>
      <c r="V118" s="7" t="e" cm="1">
        <f t="array" ref="V118">SUMPRODUCT((A118:A1116=$L118)*(B118:B1116="silver hoops earrings for women")*(D118:D1116)*(E118:E1116)) / SUMIFS(E118:E1116, A118:A1116, $L118, B118:B1116, "silver hoops earrings for women")</f>
        <v>#DIV/0!</v>
      </c>
    </row>
    <row r="119" spans="1:22" x14ac:dyDescent="0.2">
      <c r="A119">
        <v>20250217</v>
      </c>
      <c r="B119" t="s">
        <v>7</v>
      </c>
      <c r="C119" t="s">
        <v>8</v>
      </c>
      <c r="D119">
        <v>20</v>
      </c>
      <c r="E119">
        <v>70.400000000000006</v>
      </c>
      <c r="F119">
        <v>0</v>
      </c>
      <c r="G119">
        <v>0</v>
      </c>
      <c r="H119" s="1">
        <f t="shared" si="3"/>
        <v>45705</v>
      </c>
      <c r="I119">
        <f t="shared" si="4"/>
        <v>8</v>
      </c>
      <c r="L119" s="9" t="s">
        <v>160</v>
      </c>
      <c r="M119" cm="1">
        <f t="array" ref="M119">SUMPRODUCT((A119:A1117=$L119)*(B119:B1117="sterling silver earrings")*(D119:D1117)*(E119:E1117)) / SUMIFS(E119:E1117, A119:A1117, $L119, B119:B1117, "sterling silver earrings")</f>
        <v>0</v>
      </c>
      <c r="N119" s="7" cm="1">
        <f t="array" ref="N119">SUMPRODUCT((A119:A1117=$L119)*(B119:B1117="silver hoop earrings for women")*(D119:D1117)*(E119:E1117)) / SUMIFS(E119:E1117, A119:A1117, $L119, B119:B1117, "silver hoop earrings for women")</f>
        <v>0</v>
      </c>
      <c r="O119" s="7" cm="1">
        <f t="array" ref="O119">SUMPRODUCT((A119:A1117=$L119)*(B119:B1117="hoop earrings")*(D119:D1117)*(E119:E1117)) / SUMIFS(E119:E1117, A119:A1117, $L119, B119:B1117, "hoop earrings")</f>
        <v>0</v>
      </c>
      <c r="P119" s="7" t="e" cm="1">
        <f t="array" ref="P119">SUMPRODUCT((A119:A1117=$L119)*(B119:B1117="silver hoops")*(D119:D1117)*(E119:E1117)) / SUMIFS(E119:E1117, A119:A1117, $L119, B119:B1117, "silver hoops")</f>
        <v>#DIV/0!</v>
      </c>
      <c r="Q119" s="7" cm="1">
        <f t="array" ref="Q119">SUMPRODUCT((A119:A1117=$L119)*(B119:B1117="sterling silver hoop earrings")*(D119:D1117)*(E119:E1117)) / SUMIFS(E119:E1117, A119:A1117, $L119, B119:B1117, "sterling silver hoop earrings")</f>
        <v>0</v>
      </c>
      <c r="R119" s="7" cm="1">
        <f t="array" ref="R119">SUMPRODUCT((A119:A1117=$L119)*(B119:B1117="silver hoop earrings")*(D119:D1117)*(E119:E1117)) / SUMIFS(E119:E1117, A119:A1117, $L119, B119:B1117, "silver hoop earrings")</f>
        <v>0</v>
      </c>
      <c r="S119" s="7" cm="1">
        <f t="array" ref="S119">SUMPRODUCT((A119:A1117=$L119)*(B119:B1117="925 sterling silver earrings")*(D119:D1117)*(E119:E1117)) / SUMIFS(E119:E1117, A119:A1117, $L119, B119:B1117, "925 sterling silver earrings")</f>
        <v>0</v>
      </c>
      <c r="T119" s="7" t="e" cm="1">
        <f t="array" ref="T119">SUMPRODUCT((A119:A1117=$L119)*(B119:B1117="hoops")*(D119:D1117)*(E119:E1117)) / SUMIFS(E119:E1117, A119:A1117, $L119, B119:B1117, "hoops")</f>
        <v>#DIV/0!</v>
      </c>
      <c r="U119" s="7" t="e" cm="1">
        <f t="array" ref="U119">SUMPRODUCT((A119:A1117=$L119)*(B119:B1117="hoops earrings for women")*(D119:D1117)*(E119:E1117)) / SUMIFS(E119:E1117, A119:A1117, $L119, B119:B1117, "hoops earrings for women")</f>
        <v>#DIV/0!</v>
      </c>
      <c r="V119" s="7" t="e" cm="1">
        <f t="array" ref="V119">SUMPRODUCT((A119:A1117=$L119)*(B119:B1117="silver hoops earrings for women")*(D119:D1117)*(E119:E1117)) / SUMIFS(E119:E1117, A119:A1117, $L119, B119:B1117, "silver hoops earrings for women")</f>
        <v>#DIV/0!</v>
      </c>
    </row>
    <row r="120" spans="1:22" x14ac:dyDescent="0.2">
      <c r="A120">
        <v>20250218</v>
      </c>
      <c r="B120" t="s">
        <v>7</v>
      </c>
      <c r="C120" t="s">
        <v>8</v>
      </c>
      <c r="D120">
        <v>17</v>
      </c>
      <c r="E120">
        <v>70</v>
      </c>
      <c r="F120">
        <v>0</v>
      </c>
      <c r="G120">
        <v>0</v>
      </c>
      <c r="H120" s="1">
        <f t="shared" si="3"/>
        <v>45706</v>
      </c>
      <c r="I120">
        <f t="shared" si="4"/>
        <v>8</v>
      </c>
      <c r="L120" s="9" t="s">
        <v>161</v>
      </c>
      <c r="M120" cm="1">
        <f t="array" ref="M120">SUMPRODUCT((A120:A1118=$L120)*(B120:B1118="sterling silver earrings")*(D120:D1118)*(E120:E1118)) / SUMIFS(E120:E1118, A120:A1118, $L120, B120:B1118, "sterling silver earrings")</f>
        <v>0</v>
      </c>
      <c r="N120" s="7" cm="1">
        <f t="array" ref="N120">SUMPRODUCT((A120:A1118=$L120)*(B120:B1118="silver hoop earrings for women")*(D120:D1118)*(E120:E1118)) / SUMIFS(E120:E1118, A120:A1118, $L120, B120:B1118, "silver hoop earrings for women")</f>
        <v>0</v>
      </c>
      <c r="O120" s="7" t="e" cm="1">
        <f t="array" ref="O120">SUMPRODUCT((A120:A1118=$L120)*(B120:B1118="hoop earrings")*(D120:D1118)*(E120:E1118)) / SUMIFS(E120:E1118, A120:A1118, $L120, B120:B1118, "hoop earrings")</f>
        <v>#DIV/0!</v>
      </c>
      <c r="P120" s="7" t="e" cm="1">
        <f t="array" ref="P120">SUMPRODUCT((A120:A1118=$L120)*(B120:B1118="silver hoops")*(D120:D1118)*(E120:E1118)) / SUMIFS(E120:E1118, A120:A1118, $L120, B120:B1118, "silver hoops")</f>
        <v>#DIV/0!</v>
      </c>
      <c r="Q120" s="7" t="e" cm="1">
        <f t="array" ref="Q120">SUMPRODUCT((A120:A1118=$L120)*(B120:B1118="sterling silver hoop earrings")*(D120:D1118)*(E120:E1118)) / SUMIFS(E120:E1118, A120:A1118, $L120, B120:B1118, "sterling silver hoop earrings")</f>
        <v>#DIV/0!</v>
      </c>
      <c r="R120" s="7" t="e" cm="1">
        <f t="array" ref="R120">SUMPRODUCT((A120:A1118=$L120)*(B120:B1118="silver hoop earrings")*(D120:D1118)*(E120:E1118)) / SUMIFS(E120:E1118, A120:A1118, $L120, B120:B1118, "silver hoop earrings")</f>
        <v>#DIV/0!</v>
      </c>
      <c r="S120" s="7" t="e" cm="1">
        <f t="array" ref="S120">SUMPRODUCT((A120:A1118=$L120)*(B120:B1118="925 sterling silver earrings")*(D120:D1118)*(E120:E1118)) / SUMIFS(E120:E1118, A120:A1118, $L120, B120:B1118, "925 sterling silver earrings")</f>
        <v>#DIV/0!</v>
      </c>
      <c r="T120" s="7" t="e" cm="1">
        <f t="array" ref="T120">SUMPRODUCT((A120:A1118=$L120)*(B120:B1118="hoops")*(D120:D1118)*(E120:E1118)) / SUMIFS(E120:E1118, A120:A1118, $L120, B120:B1118, "hoops")</f>
        <v>#DIV/0!</v>
      </c>
      <c r="U120" s="7" t="e" cm="1">
        <f t="array" ref="U120">SUMPRODUCT((A120:A1118=$L120)*(B120:B1118="hoops earrings for women")*(D120:D1118)*(E120:E1118)) / SUMIFS(E120:E1118, A120:A1118, $L120, B120:B1118, "hoops earrings for women")</f>
        <v>#DIV/0!</v>
      </c>
      <c r="V120" s="7" t="e" cm="1">
        <f t="array" ref="V120">SUMPRODUCT((A120:A1118=$L120)*(B120:B1118="silver hoops earrings for women")*(D120:D1118)*(E120:E1118)) / SUMIFS(E120:E1118, A120:A1118, $L120, B120:B1118, "silver hoops earrings for women")</f>
        <v>#DIV/0!</v>
      </c>
    </row>
    <row r="121" spans="1:22" x14ac:dyDescent="0.2">
      <c r="A121">
        <v>20250218</v>
      </c>
      <c r="B121" t="s">
        <v>10</v>
      </c>
      <c r="C121" t="s">
        <v>8</v>
      </c>
      <c r="D121">
        <v>1</v>
      </c>
      <c r="E121">
        <v>47</v>
      </c>
      <c r="F121">
        <v>0</v>
      </c>
      <c r="G121">
        <v>0</v>
      </c>
      <c r="H121" s="1">
        <f t="shared" si="3"/>
        <v>45706</v>
      </c>
      <c r="I121">
        <f t="shared" si="4"/>
        <v>8</v>
      </c>
      <c r="L121" s="9" t="s">
        <v>162</v>
      </c>
      <c r="M121" cm="1">
        <f t="array" ref="M121">SUMPRODUCT((A121:A1119=$L121)*(B121:B1119="sterling silver earrings")*(D121:D1119)*(E121:E1119)) / SUMIFS(E121:E1119, A121:A1119, $L121, B121:B1119, "sterling silver earrings")</f>
        <v>0</v>
      </c>
      <c r="N121" s="7" cm="1">
        <f t="array" ref="N121">SUMPRODUCT((A121:A1119=$L121)*(B121:B1119="silver hoop earrings for women")*(D121:D1119)*(E121:E1119)) / SUMIFS(E121:E1119, A121:A1119, $L121, B121:B1119, "silver hoop earrings for women")</f>
        <v>0</v>
      </c>
      <c r="O121" s="7" cm="1">
        <f t="array" ref="O121">SUMPRODUCT((A121:A1119=$L121)*(B121:B1119="hoop earrings")*(D121:D1119)*(E121:E1119)) / SUMIFS(E121:E1119, A121:A1119, $L121, B121:B1119, "hoop earrings")</f>
        <v>0</v>
      </c>
      <c r="P121" s="7" t="e" cm="1">
        <f t="array" ref="P121">SUMPRODUCT((A121:A1119=$L121)*(B121:B1119="silver hoops")*(D121:D1119)*(E121:E1119)) / SUMIFS(E121:E1119, A121:A1119, $L121, B121:B1119, "silver hoops")</f>
        <v>#DIV/0!</v>
      </c>
      <c r="Q121" s="7" cm="1">
        <f t="array" ref="Q121">SUMPRODUCT((A121:A1119=$L121)*(B121:B1119="sterling silver hoop earrings")*(D121:D1119)*(E121:E1119)) / SUMIFS(E121:E1119, A121:A1119, $L121, B121:B1119, "sterling silver hoop earrings")</f>
        <v>0</v>
      </c>
      <c r="R121" s="7" cm="1">
        <f t="array" ref="R121">SUMPRODUCT((A121:A1119=$L121)*(B121:B1119="silver hoop earrings")*(D121:D1119)*(E121:E1119)) / SUMIFS(E121:E1119, A121:A1119, $L121, B121:B1119, "silver hoop earrings")</f>
        <v>0</v>
      </c>
      <c r="S121" s="7" t="e" cm="1">
        <f t="array" ref="S121">SUMPRODUCT((A121:A1119=$L121)*(B121:B1119="925 sterling silver earrings")*(D121:D1119)*(E121:E1119)) / SUMIFS(E121:E1119, A121:A1119, $L121, B121:B1119, "925 sterling silver earrings")</f>
        <v>#DIV/0!</v>
      </c>
      <c r="T121" s="7" t="e" cm="1">
        <f t="array" ref="T121">SUMPRODUCT((A121:A1119=$L121)*(B121:B1119="hoops")*(D121:D1119)*(E121:E1119)) / SUMIFS(E121:E1119, A121:A1119, $L121, B121:B1119, "hoops")</f>
        <v>#DIV/0!</v>
      </c>
      <c r="U121" s="7" t="e" cm="1">
        <f t="array" ref="U121">SUMPRODUCT((A121:A1119=$L121)*(B121:B1119="hoops earrings for women")*(D121:D1119)*(E121:E1119)) / SUMIFS(E121:E1119, A121:A1119, $L121, B121:B1119, "hoops earrings for women")</f>
        <v>#DIV/0!</v>
      </c>
      <c r="V121" s="7" t="e" cm="1">
        <f t="array" ref="V121">SUMPRODUCT((A121:A1119=$L121)*(B121:B1119="silver hoops earrings for women")*(D121:D1119)*(E121:E1119)) / SUMIFS(E121:E1119, A121:A1119, $L121, B121:B1119, "silver hoops earrings for women")</f>
        <v>#DIV/0!</v>
      </c>
    </row>
    <row r="122" spans="1:22" x14ac:dyDescent="0.2">
      <c r="A122">
        <v>20250219</v>
      </c>
      <c r="B122" t="s">
        <v>7</v>
      </c>
      <c r="C122" t="s">
        <v>8</v>
      </c>
      <c r="D122">
        <v>23</v>
      </c>
      <c r="E122">
        <v>58.521739130434703</v>
      </c>
      <c r="F122">
        <v>0</v>
      </c>
      <c r="G122">
        <v>0</v>
      </c>
      <c r="H122" s="1">
        <f t="shared" si="3"/>
        <v>45707</v>
      </c>
      <c r="I122">
        <f t="shared" si="4"/>
        <v>8</v>
      </c>
      <c r="L122" s="9" t="s">
        <v>163</v>
      </c>
      <c r="M122" cm="1">
        <f t="array" ref="M122">SUMPRODUCT((A122:A1120=$L122)*(B122:B1120="sterling silver earrings")*(D122:D1120)*(E122:E1120)) / SUMIFS(E122:E1120, A122:A1120, $L122, B122:B1120, "sterling silver earrings")</f>
        <v>0</v>
      </c>
      <c r="N122" s="7" cm="1">
        <f t="array" ref="N122">SUMPRODUCT((A122:A1120=$L122)*(B122:B1120="silver hoop earrings for women")*(D122:D1120)*(E122:E1120)) / SUMIFS(E122:E1120, A122:A1120, $L122, B122:B1120, "silver hoop earrings for women")</f>
        <v>0</v>
      </c>
      <c r="O122" s="7" t="e" cm="1">
        <f t="array" ref="O122">SUMPRODUCT((A122:A1120=$L122)*(B122:B1120="hoop earrings")*(D122:D1120)*(E122:E1120)) / SUMIFS(E122:E1120, A122:A1120, $L122, B122:B1120, "hoop earrings")</f>
        <v>#DIV/0!</v>
      </c>
      <c r="P122" s="7" t="e" cm="1">
        <f t="array" ref="P122">SUMPRODUCT((A122:A1120=$L122)*(B122:B1120="silver hoops")*(D122:D1120)*(E122:E1120)) / SUMIFS(E122:E1120, A122:A1120, $L122, B122:B1120, "silver hoops")</f>
        <v>#DIV/0!</v>
      </c>
      <c r="Q122" s="7" t="e" cm="1">
        <f t="array" ref="Q122">SUMPRODUCT((A122:A1120=$L122)*(B122:B1120="sterling silver hoop earrings")*(D122:D1120)*(E122:E1120)) / SUMIFS(E122:E1120, A122:A1120, $L122, B122:B1120, "sterling silver hoop earrings")</f>
        <v>#DIV/0!</v>
      </c>
      <c r="R122" s="7" cm="1">
        <f t="array" ref="R122">SUMPRODUCT((A122:A1120=$L122)*(B122:B1120="silver hoop earrings")*(D122:D1120)*(E122:E1120)) / SUMIFS(E122:E1120, A122:A1120, $L122, B122:B1120, "silver hoop earrings")</f>
        <v>0</v>
      </c>
      <c r="S122" s="7" cm="1">
        <f t="array" ref="S122">SUMPRODUCT((A122:A1120=$L122)*(B122:B1120="925 sterling silver earrings")*(D122:D1120)*(E122:E1120)) / SUMIFS(E122:E1120, A122:A1120, $L122, B122:B1120, "925 sterling silver earrings")</f>
        <v>0</v>
      </c>
      <c r="T122" s="7" t="e" cm="1">
        <f t="array" ref="T122">SUMPRODUCT((A122:A1120=$L122)*(B122:B1120="hoops")*(D122:D1120)*(E122:E1120)) / SUMIFS(E122:E1120, A122:A1120, $L122, B122:B1120, "hoops")</f>
        <v>#DIV/0!</v>
      </c>
      <c r="U122" s="7" t="e" cm="1">
        <f t="array" ref="U122">SUMPRODUCT((A122:A1120=$L122)*(B122:B1120="hoops earrings for women")*(D122:D1120)*(E122:E1120)) / SUMIFS(E122:E1120, A122:A1120, $L122, B122:B1120, "hoops earrings for women")</f>
        <v>#DIV/0!</v>
      </c>
      <c r="V122" s="7" t="e" cm="1">
        <f t="array" ref="V122">SUMPRODUCT((A122:A1120=$L122)*(B122:B1120="silver hoops earrings for women")*(D122:D1120)*(E122:E1120)) / SUMIFS(E122:E1120, A122:A1120, $L122, B122:B1120, "silver hoops earrings for women")</f>
        <v>#DIV/0!</v>
      </c>
    </row>
    <row r="123" spans="1:22" x14ac:dyDescent="0.2">
      <c r="A123">
        <v>20250219</v>
      </c>
      <c r="B123" t="s">
        <v>10</v>
      </c>
      <c r="C123" t="s">
        <v>8</v>
      </c>
      <c r="D123">
        <v>2</v>
      </c>
      <c r="E123">
        <v>18.5</v>
      </c>
      <c r="F123">
        <v>0</v>
      </c>
      <c r="G123">
        <v>0</v>
      </c>
      <c r="H123" s="1">
        <f t="shared" si="3"/>
        <v>45707</v>
      </c>
      <c r="I123">
        <f t="shared" si="4"/>
        <v>8</v>
      </c>
      <c r="L123" s="9" t="s">
        <v>164</v>
      </c>
      <c r="M123" cm="1">
        <f t="array" ref="M123">SUMPRODUCT((A123:A1121=$L123)*(B123:B1121="sterling silver earrings")*(D123:D1121)*(E123:E1121)) / SUMIFS(E123:E1121, A123:A1121, $L123, B123:B1121, "sterling silver earrings")</f>
        <v>0</v>
      </c>
      <c r="N123" s="7" cm="1">
        <f t="array" ref="N123">SUMPRODUCT((A123:A1121=$L123)*(B123:B1121="silver hoop earrings for women")*(D123:D1121)*(E123:E1121)) / SUMIFS(E123:E1121, A123:A1121, $L123, B123:B1121, "silver hoop earrings for women")</f>
        <v>0</v>
      </c>
      <c r="O123" s="7" t="e" cm="1">
        <f t="array" ref="O123">SUMPRODUCT((A123:A1121=$L123)*(B123:B1121="hoop earrings")*(D123:D1121)*(E123:E1121)) / SUMIFS(E123:E1121, A123:A1121, $L123, B123:B1121, "hoop earrings")</f>
        <v>#DIV/0!</v>
      </c>
      <c r="P123" s="7" t="e" cm="1">
        <f t="array" ref="P123">SUMPRODUCT((A123:A1121=$L123)*(B123:B1121="silver hoops")*(D123:D1121)*(E123:E1121)) / SUMIFS(E123:E1121, A123:A1121, $L123, B123:B1121, "silver hoops")</f>
        <v>#DIV/0!</v>
      </c>
      <c r="Q123" s="7" t="e" cm="1">
        <f t="array" ref="Q123">SUMPRODUCT((A123:A1121=$L123)*(B123:B1121="sterling silver hoop earrings")*(D123:D1121)*(E123:E1121)) / SUMIFS(E123:E1121, A123:A1121, $L123, B123:B1121, "sterling silver hoop earrings")</f>
        <v>#DIV/0!</v>
      </c>
      <c r="R123" s="7" t="e" cm="1">
        <f t="array" ref="R123">SUMPRODUCT((A123:A1121=$L123)*(B123:B1121="silver hoop earrings")*(D123:D1121)*(E123:E1121)) / SUMIFS(E123:E1121, A123:A1121, $L123, B123:B1121, "silver hoop earrings")</f>
        <v>#DIV/0!</v>
      </c>
      <c r="S123" s="7" cm="1">
        <f t="array" ref="S123">SUMPRODUCT((A123:A1121=$L123)*(B123:B1121="925 sterling silver earrings")*(D123:D1121)*(E123:E1121)) / SUMIFS(E123:E1121, A123:A1121, $L123, B123:B1121, "925 sterling silver earrings")</f>
        <v>0</v>
      </c>
      <c r="T123" s="7" t="e" cm="1">
        <f t="array" ref="T123">SUMPRODUCT((A123:A1121=$L123)*(B123:B1121="hoops")*(D123:D1121)*(E123:E1121)) / SUMIFS(E123:E1121, A123:A1121, $L123, B123:B1121, "hoops")</f>
        <v>#DIV/0!</v>
      </c>
      <c r="U123" s="7" t="e" cm="1">
        <f t="array" ref="U123">SUMPRODUCT((A123:A1121=$L123)*(B123:B1121="hoops earrings for women")*(D123:D1121)*(E123:E1121)) / SUMIFS(E123:E1121, A123:A1121, $L123, B123:B1121, "hoops earrings for women")</f>
        <v>#DIV/0!</v>
      </c>
      <c r="V123" s="7" t="e" cm="1">
        <f t="array" ref="V123">SUMPRODUCT((A123:A1121=$L123)*(B123:B1121="silver hoops earrings for women")*(D123:D1121)*(E123:E1121)) / SUMIFS(E123:E1121, A123:A1121, $L123, B123:B1121, "silver hoops earrings for women")</f>
        <v>#DIV/0!</v>
      </c>
    </row>
    <row r="124" spans="1:22" x14ac:dyDescent="0.2">
      <c r="A124">
        <v>20250219</v>
      </c>
      <c r="B124" t="s">
        <v>10</v>
      </c>
      <c r="C124" t="s">
        <v>24</v>
      </c>
      <c r="D124">
        <v>1</v>
      </c>
      <c r="E124">
        <v>31</v>
      </c>
      <c r="F124">
        <v>0</v>
      </c>
      <c r="G124">
        <v>0</v>
      </c>
      <c r="H124" s="1">
        <f t="shared" si="3"/>
        <v>45707</v>
      </c>
      <c r="I124">
        <f t="shared" si="4"/>
        <v>8</v>
      </c>
      <c r="L124" s="9" t="s">
        <v>165</v>
      </c>
      <c r="M124" cm="1">
        <f t="array" ref="M124">SUMPRODUCT((A124:A1122=$L124)*(B124:B1122="sterling silver earrings")*(D124:D1122)*(E124:E1122)) / SUMIFS(E124:E1122, A124:A1122, $L124, B124:B1122, "sterling silver earrings")</f>
        <v>0</v>
      </c>
      <c r="N124" s="7" t="e" cm="1">
        <f t="array" ref="N124">SUMPRODUCT((A124:A1122=$L124)*(B124:B1122="silver hoop earrings for women")*(D124:D1122)*(E124:E1122)) / SUMIFS(E124:E1122, A124:A1122, $L124, B124:B1122, "silver hoop earrings for women")</f>
        <v>#DIV/0!</v>
      </c>
      <c r="O124" s="7" cm="1">
        <f t="array" ref="O124">SUMPRODUCT((A124:A1122=$L124)*(B124:B1122="hoop earrings")*(D124:D1122)*(E124:E1122)) / SUMIFS(E124:E1122, A124:A1122, $L124, B124:B1122, "hoop earrings")</f>
        <v>0</v>
      </c>
      <c r="P124" s="7" t="e" cm="1">
        <f t="array" ref="P124">SUMPRODUCT((A124:A1122=$L124)*(B124:B1122="silver hoops")*(D124:D1122)*(E124:E1122)) / SUMIFS(E124:E1122, A124:A1122, $L124, B124:B1122, "silver hoops")</f>
        <v>#DIV/0!</v>
      </c>
      <c r="Q124" s="7" cm="1">
        <f t="array" ref="Q124">SUMPRODUCT((A124:A1122=$L124)*(B124:B1122="sterling silver hoop earrings")*(D124:D1122)*(E124:E1122)) / SUMIFS(E124:E1122, A124:A1122, $L124, B124:B1122, "sterling silver hoop earrings")</f>
        <v>0</v>
      </c>
      <c r="R124" s="7" t="e" cm="1">
        <f t="array" ref="R124">SUMPRODUCT((A124:A1122=$L124)*(B124:B1122="silver hoop earrings")*(D124:D1122)*(E124:E1122)) / SUMIFS(E124:E1122, A124:A1122, $L124, B124:B1122, "silver hoop earrings")</f>
        <v>#DIV/0!</v>
      </c>
      <c r="S124" s="7" t="e" cm="1">
        <f t="array" ref="S124">SUMPRODUCT((A124:A1122=$L124)*(B124:B1122="925 sterling silver earrings")*(D124:D1122)*(E124:E1122)) / SUMIFS(E124:E1122, A124:A1122, $L124, B124:B1122, "925 sterling silver earrings")</f>
        <v>#DIV/0!</v>
      </c>
      <c r="T124" s="7" t="e" cm="1">
        <f t="array" ref="T124">SUMPRODUCT((A124:A1122=$L124)*(B124:B1122="hoops")*(D124:D1122)*(E124:E1122)) / SUMIFS(E124:E1122, A124:A1122, $L124, B124:B1122, "hoops")</f>
        <v>#DIV/0!</v>
      </c>
      <c r="U124" s="7" t="e" cm="1">
        <f t="array" ref="U124">SUMPRODUCT((A124:A1122=$L124)*(B124:B1122="hoops earrings for women")*(D124:D1122)*(E124:E1122)) / SUMIFS(E124:E1122, A124:A1122, $L124, B124:B1122, "hoops earrings for women")</f>
        <v>#DIV/0!</v>
      </c>
      <c r="V124" s="7" t="e" cm="1">
        <f t="array" ref="V124">SUMPRODUCT((A124:A1122=$L124)*(B124:B1122="silver hoops earrings for women")*(D124:D1122)*(E124:E1122)) / SUMIFS(E124:E1122, A124:A1122, $L124, B124:B1122, "silver hoops earrings for women")</f>
        <v>#DIV/0!</v>
      </c>
    </row>
    <row r="125" spans="1:22" x14ac:dyDescent="0.2">
      <c r="A125">
        <v>20250220</v>
      </c>
      <c r="B125" t="s">
        <v>7</v>
      </c>
      <c r="C125" t="s">
        <v>8</v>
      </c>
      <c r="D125">
        <v>19</v>
      </c>
      <c r="E125">
        <v>60.684210526315702</v>
      </c>
      <c r="F125">
        <v>0</v>
      </c>
      <c r="G125">
        <v>0</v>
      </c>
      <c r="H125" s="1">
        <f t="shared" si="3"/>
        <v>45708</v>
      </c>
      <c r="I125">
        <f t="shared" si="4"/>
        <v>8</v>
      </c>
      <c r="L125" s="9" t="s">
        <v>166</v>
      </c>
      <c r="M125" t="e" cm="1">
        <f t="array" ref="M125">SUMPRODUCT((A125:A1123=$L125)*(B125:B1123="sterling silver earrings")*(D125:D1123)*(E125:E1123)) / SUMIFS(E125:E1123, A125:A1123, $L125, B125:B1123, "sterling silver earrings")</f>
        <v>#DIV/0!</v>
      </c>
      <c r="N125" s="7" cm="1">
        <f t="array" ref="N125">SUMPRODUCT((A125:A1123=$L125)*(B125:B1123="silver hoop earrings for women")*(D125:D1123)*(E125:E1123)) / SUMIFS(E125:E1123, A125:A1123, $L125, B125:B1123, "silver hoop earrings for women")</f>
        <v>0</v>
      </c>
      <c r="O125" s="7" t="e" cm="1">
        <f t="array" ref="O125">SUMPRODUCT((A125:A1123=$L125)*(B125:B1123="hoop earrings")*(D125:D1123)*(E125:E1123)) / SUMIFS(E125:E1123, A125:A1123, $L125, B125:B1123, "hoop earrings")</f>
        <v>#DIV/0!</v>
      </c>
      <c r="P125" s="7" t="e" cm="1">
        <f t="array" ref="P125">SUMPRODUCT((A125:A1123=$L125)*(B125:B1123="silver hoops")*(D125:D1123)*(E125:E1123)) / SUMIFS(E125:E1123, A125:A1123, $L125, B125:B1123, "silver hoops")</f>
        <v>#DIV/0!</v>
      </c>
      <c r="Q125" s="7" cm="1">
        <f t="array" ref="Q125">SUMPRODUCT((A125:A1123=$L125)*(B125:B1123="sterling silver hoop earrings")*(D125:D1123)*(E125:E1123)) / SUMIFS(E125:E1123, A125:A1123, $L125, B125:B1123, "sterling silver hoop earrings")</f>
        <v>0</v>
      </c>
      <c r="R125" s="7" cm="1">
        <f t="array" ref="R125">SUMPRODUCT((A125:A1123=$L125)*(B125:B1123="silver hoop earrings")*(D125:D1123)*(E125:E1123)) / SUMIFS(E125:E1123, A125:A1123, $L125, B125:B1123, "silver hoop earrings")</f>
        <v>0</v>
      </c>
      <c r="S125" s="7" t="e" cm="1">
        <f t="array" ref="S125">SUMPRODUCT((A125:A1123=$L125)*(B125:B1123="925 sterling silver earrings")*(D125:D1123)*(E125:E1123)) / SUMIFS(E125:E1123, A125:A1123, $L125, B125:B1123, "925 sterling silver earrings")</f>
        <v>#DIV/0!</v>
      </c>
      <c r="T125" s="7" t="e" cm="1">
        <f t="array" ref="T125">SUMPRODUCT((A125:A1123=$L125)*(B125:B1123="hoops")*(D125:D1123)*(E125:E1123)) / SUMIFS(E125:E1123, A125:A1123, $L125, B125:B1123, "hoops")</f>
        <v>#DIV/0!</v>
      </c>
      <c r="U125" s="7" t="e" cm="1">
        <f t="array" ref="U125">SUMPRODUCT((A125:A1123=$L125)*(B125:B1123="hoops earrings for women")*(D125:D1123)*(E125:E1123)) / SUMIFS(E125:E1123, A125:A1123, $L125, B125:B1123, "hoops earrings for women")</f>
        <v>#DIV/0!</v>
      </c>
      <c r="V125" s="7" t="e" cm="1">
        <f t="array" ref="V125">SUMPRODUCT((A125:A1123=$L125)*(B125:B1123="silver hoops earrings for women")*(D125:D1123)*(E125:E1123)) / SUMIFS(E125:E1123, A125:A1123, $L125, B125:B1123, "silver hoops earrings for women")</f>
        <v>#DIV/0!</v>
      </c>
    </row>
    <row r="126" spans="1:22" x14ac:dyDescent="0.2">
      <c r="A126">
        <v>20250220</v>
      </c>
      <c r="B126" t="s">
        <v>7</v>
      </c>
      <c r="C126" t="s">
        <v>17</v>
      </c>
      <c r="D126">
        <v>1</v>
      </c>
      <c r="E126">
        <v>25</v>
      </c>
      <c r="F126">
        <v>0</v>
      </c>
      <c r="G126">
        <v>0</v>
      </c>
      <c r="H126" s="1">
        <f t="shared" si="3"/>
        <v>45708</v>
      </c>
      <c r="I126">
        <f t="shared" si="4"/>
        <v>8</v>
      </c>
      <c r="L126" s="9" t="s">
        <v>167</v>
      </c>
      <c r="M126" t="e" cm="1">
        <f t="array" ref="M126">SUMPRODUCT((A126:A1124=$L126)*(B126:B1124="sterling silver earrings")*(D126:D1124)*(E126:E1124)) / SUMIFS(E126:E1124, A126:A1124, $L126, B126:B1124, "sterling silver earrings")</f>
        <v>#DIV/0!</v>
      </c>
      <c r="N126" s="7" cm="1">
        <f t="array" ref="N126">SUMPRODUCT((A126:A1124=$L126)*(B126:B1124="silver hoop earrings for women")*(D126:D1124)*(E126:E1124)) / SUMIFS(E126:E1124, A126:A1124, $L126, B126:B1124, "silver hoop earrings for women")</f>
        <v>0</v>
      </c>
      <c r="O126" s="7" t="e" cm="1">
        <f t="array" ref="O126">SUMPRODUCT((A126:A1124=$L126)*(B126:B1124="hoop earrings")*(D126:D1124)*(E126:E1124)) / SUMIFS(E126:E1124, A126:A1124, $L126, B126:B1124, "hoop earrings")</f>
        <v>#DIV/0!</v>
      </c>
      <c r="P126" s="7" t="e" cm="1">
        <f t="array" ref="P126">SUMPRODUCT((A126:A1124=$L126)*(B126:B1124="silver hoops")*(D126:D1124)*(E126:E1124)) / SUMIFS(E126:E1124, A126:A1124, $L126, B126:B1124, "silver hoops")</f>
        <v>#DIV/0!</v>
      </c>
      <c r="Q126" s="7" cm="1">
        <f t="array" ref="Q126">SUMPRODUCT((A126:A1124=$L126)*(B126:B1124="sterling silver hoop earrings")*(D126:D1124)*(E126:E1124)) / SUMIFS(E126:E1124, A126:A1124, $L126, B126:B1124, "sterling silver hoop earrings")</f>
        <v>0</v>
      </c>
      <c r="R126" s="7" t="e" cm="1">
        <f t="array" ref="R126">SUMPRODUCT((A126:A1124=$L126)*(B126:B1124="silver hoop earrings")*(D126:D1124)*(E126:E1124)) / SUMIFS(E126:E1124, A126:A1124, $L126, B126:B1124, "silver hoop earrings")</f>
        <v>#DIV/0!</v>
      </c>
      <c r="S126" s="7" t="e" cm="1">
        <f t="array" ref="S126">SUMPRODUCT((A126:A1124=$L126)*(B126:B1124="925 sterling silver earrings")*(D126:D1124)*(E126:E1124)) / SUMIFS(E126:E1124, A126:A1124, $L126, B126:B1124, "925 sterling silver earrings")</f>
        <v>#DIV/0!</v>
      </c>
      <c r="T126" s="7" t="e" cm="1">
        <f t="array" ref="T126">SUMPRODUCT((A126:A1124=$L126)*(B126:B1124="hoops")*(D126:D1124)*(E126:E1124)) / SUMIFS(E126:E1124, A126:A1124, $L126, B126:B1124, "hoops")</f>
        <v>#DIV/0!</v>
      </c>
      <c r="U126" s="7" t="e" cm="1">
        <f t="array" ref="U126">SUMPRODUCT((A126:A1124=$L126)*(B126:B1124="hoops earrings for women")*(D126:D1124)*(E126:E1124)) / SUMIFS(E126:E1124, A126:A1124, $L126, B126:B1124, "hoops earrings for women")</f>
        <v>#DIV/0!</v>
      </c>
      <c r="V126" s="7" t="e" cm="1">
        <f t="array" ref="V126">SUMPRODUCT((A126:A1124=$L126)*(B126:B1124="silver hoops earrings for women")*(D126:D1124)*(E126:E1124)) / SUMIFS(E126:E1124, A126:A1124, $L126, B126:B1124, "silver hoops earrings for women")</f>
        <v>#DIV/0!</v>
      </c>
    </row>
    <row r="127" spans="1:22" x14ac:dyDescent="0.2">
      <c r="A127">
        <v>20250220</v>
      </c>
      <c r="B127" t="s">
        <v>23</v>
      </c>
      <c r="C127" t="s">
        <v>13</v>
      </c>
      <c r="D127">
        <v>1</v>
      </c>
      <c r="E127">
        <v>1</v>
      </c>
      <c r="F127">
        <v>0</v>
      </c>
      <c r="G127">
        <v>2</v>
      </c>
      <c r="H127" s="1">
        <f t="shared" si="3"/>
        <v>45708</v>
      </c>
      <c r="I127">
        <f t="shared" si="4"/>
        <v>8</v>
      </c>
      <c r="L127" s="9" t="s">
        <v>168</v>
      </c>
      <c r="M127" cm="1">
        <f t="array" ref="M127">SUMPRODUCT((A127:A1125=$L127)*(B127:B1125="sterling silver earrings")*(D127:D1125)*(E127:E1125)) / SUMIFS(E127:E1125, A127:A1125, $L127, B127:B1125, "sterling silver earrings")</f>
        <v>0</v>
      </c>
      <c r="N127" s="7" cm="1">
        <f t="array" ref="N127">SUMPRODUCT((A127:A1125=$L127)*(B127:B1125="silver hoop earrings for women")*(D127:D1125)*(E127:E1125)) / SUMIFS(E127:E1125, A127:A1125, $L127, B127:B1125, "silver hoop earrings for women")</f>
        <v>0</v>
      </c>
      <c r="O127" s="7" t="e" cm="1">
        <f t="array" ref="O127">SUMPRODUCT((A127:A1125=$L127)*(B127:B1125="hoop earrings")*(D127:D1125)*(E127:E1125)) / SUMIFS(E127:E1125, A127:A1125, $L127, B127:B1125, "hoop earrings")</f>
        <v>#DIV/0!</v>
      </c>
      <c r="P127" s="7" t="e" cm="1">
        <f t="array" ref="P127">SUMPRODUCT((A127:A1125=$L127)*(B127:B1125="silver hoops")*(D127:D1125)*(E127:E1125)) / SUMIFS(E127:E1125, A127:A1125, $L127, B127:B1125, "silver hoops")</f>
        <v>#DIV/0!</v>
      </c>
      <c r="Q127" s="7" cm="1">
        <f t="array" ref="Q127">SUMPRODUCT((A127:A1125=$L127)*(B127:B1125="sterling silver hoop earrings")*(D127:D1125)*(E127:E1125)) / SUMIFS(E127:E1125, A127:A1125, $L127, B127:B1125, "sterling silver hoop earrings")</f>
        <v>0</v>
      </c>
      <c r="R127" s="7" t="e" cm="1">
        <f t="array" ref="R127">SUMPRODUCT((A127:A1125=$L127)*(B127:B1125="silver hoop earrings")*(D127:D1125)*(E127:E1125)) / SUMIFS(E127:E1125, A127:A1125, $L127, B127:B1125, "silver hoop earrings")</f>
        <v>#DIV/0!</v>
      </c>
      <c r="S127" s="7" t="e" cm="1">
        <f t="array" ref="S127">SUMPRODUCT((A127:A1125=$L127)*(B127:B1125="925 sterling silver earrings")*(D127:D1125)*(E127:E1125)) / SUMIFS(E127:E1125, A127:A1125, $L127, B127:B1125, "925 sterling silver earrings")</f>
        <v>#DIV/0!</v>
      </c>
      <c r="T127" s="7" t="e" cm="1">
        <f t="array" ref="T127">SUMPRODUCT((A127:A1125=$L127)*(B127:B1125="hoops")*(D127:D1125)*(E127:E1125)) / SUMIFS(E127:E1125, A127:A1125, $L127, B127:B1125, "hoops")</f>
        <v>#DIV/0!</v>
      </c>
      <c r="U127" s="7" t="e" cm="1">
        <f t="array" ref="U127">SUMPRODUCT((A127:A1125=$L127)*(B127:B1125="hoops earrings for women")*(D127:D1125)*(E127:E1125)) / SUMIFS(E127:E1125, A127:A1125, $L127, B127:B1125, "hoops earrings for women")</f>
        <v>#DIV/0!</v>
      </c>
      <c r="V127" s="7" t="e" cm="1">
        <f t="array" ref="V127">SUMPRODUCT((A127:A1125=$L127)*(B127:B1125="silver hoops earrings for women")*(D127:D1125)*(E127:E1125)) / SUMIFS(E127:E1125, A127:A1125, $L127, B127:B1125, "silver hoops earrings for women")</f>
        <v>#DIV/0!</v>
      </c>
    </row>
    <row r="128" spans="1:22" x14ac:dyDescent="0.2">
      <c r="A128">
        <v>20250220</v>
      </c>
      <c r="B128" t="s">
        <v>14</v>
      </c>
      <c r="C128" t="s">
        <v>8</v>
      </c>
      <c r="D128">
        <v>1</v>
      </c>
      <c r="E128">
        <v>36</v>
      </c>
      <c r="F128">
        <v>0</v>
      </c>
      <c r="G128">
        <v>0</v>
      </c>
      <c r="H128" s="1">
        <f t="shared" si="3"/>
        <v>45708</v>
      </c>
      <c r="I128">
        <f t="shared" si="4"/>
        <v>8</v>
      </c>
      <c r="L128" s="9" t="s">
        <v>169</v>
      </c>
      <c r="M128" cm="1">
        <f t="array" ref="M128">SUMPRODUCT((A128:A1126=$L128)*(B128:B1126="sterling silver earrings")*(D128:D1126)*(E128:E1126)) / SUMIFS(E128:E1126, A128:A1126, $L128, B128:B1126, "sterling silver earrings")</f>
        <v>0</v>
      </c>
      <c r="N128" s="7" t="e" cm="1">
        <f t="array" ref="N128">SUMPRODUCT((A128:A1126=$L128)*(B128:B1126="silver hoop earrings for women")*(D128:D1126)*(E128:E1126)) / SUMIFS(E128:E1126, A128:A1126, $L128, B128:B1126, "silver hoop earrings for women")</f>
        <v>#DIV/0!</v>
      </c>
      <c r="O128" s="7" t="e" cm="1">
        <f t="array" ref="O128">SUMPRODUCT((A128:A1126=$L128)*(B128:B1126="hoop earrings")*(D128:D1126)*(E128:E1126)) / SUMIFS(E128:E1126, A128:A1126, $L128, B128:B1126, "hoop earrings")</f>
        <v>#DIV/0!</v>
      </c>
      <c r="P128" s="7" t="e" cm="1">
        <f t="array" ref="P128">SUMPRODUCT((A128:A1126=$L128)*(B128:B1126="silver hoops")*(D128:D1126)*(E128:E1126)) / SUMIFS(E128:E1126, A128:A1126, $L128, B128:B1126, "silver hoops")</f>
        <v>#DIV/0!</v>
      </c>
      <c r="Q128" s="7" t="e" cm="1">
        <f t="array" ref="Q128">SUMPRODUCT((A128:A1126=$L128)*(B128:B1126="sterling silver hoop earrings")*(D128:D1126)*(E128:E1126)) / SUMIFS(E128:E1126, A128:A1126, $L128, B128:B1126, "sterling silver hoop earrings")</f>
        <v>#DIV/0!</v>
      </c>
      <c r="R128" s="7" cm="1">
        <f t="array" ref="R128">SUMPRODUCT((A128:A1126=$L128)*(B128:B1126="silver hoop earrings")*(D128:D1126)*(E128:E1126)) / SUMIFS(E128:E1126, A128:A1126, $L128, B128:B1126, "silver hoop earrings")</f>
        <v>0</v>
      </c>
      <c r="S128" s="7" cm="1">
        <f t="array" ref="S128">SUMPRODUCT((A128:A1126=$L128)*(B128:B1126="925 sterling silver earrings")*(D128:D1126)*(E128:E1126)) / SUMIFS(E128:E1126, A128:A1126, $L128, B128:B1126, "925 sterling silver earrings")</f>
        <v>0</v>
      </c>
      <c r="T128" s="7" t="e" cm="1">
        <f t="array" ref="T128">SUMPRODUCT((A128:A1126=$L128)*(B128:B1126="hoops")*(D128:D1126)*(E128:E1126)) / SUMIFS(E128:E1126, A128:A1126, $L128, B128:B1126, "hoops")</f>
        <v>#DIV/0!</v>
      </c>
      <c r="U128" s="7" t="e" cm="1">
        <f t="array" ref="U128">SUMPRODUCT((A128:A1126=$L128)*(B128:B1126="hoops earrings for women")*(D128:D1126)*(E128:E1126)) / SUMIFS(E128:E1126, A128:A1126, $L128, B128:B1126, "hoops earrings for women")</f>
        <v>#DIV/0!</v>
      </c>
      <c r="V128" s="7" t="e" cm="1">
        <f t="array" ref="V128">SUMPRODUCT((A128:A1126=$L128)*(B128:B1126="silver hoops earrings for women")*(D128:D1126)*(E128:E1126)) / SUMIFS(E128:E1126, A128:A1126, $L128, B128:B1126, "silver hoops earrings for women")</f>
        <v>#DIV/0!</v>
      </c>
    </row>
    <row r="129" spans="1:22" x14ac:dyDescent="0.2">
      <c r="A129">
        <v>20250220</v>
      </c>
      <c r="B129" t="s">
        <v>10</v>
      </c>
      <c r="C129" t="s">
        <v>13</v>
      </c>
      <c r="D129">
        <v>1</v>
      </c>
      <c r="E129">
        <v>1</v>
      </c>
      <c r="F129">
        <v>0</v>
      </c>
      <c r="G129">
        <v>0</v>
      </c>
      <c r="H129" s="1">
        <f t="shared" si="3"/>
        <v>45708</v>
      </c>
      <c r="I129">
        <f t="shared" si="4"/>
        <v>8</v>
      </c>
      <c r="L129" s="9" t="s">
        <v>170</v>
      </c>
      <c r="M129" cm="1">
        <f t="array" ref="M129">SUMPRODUCT((A129:A1127=$L129)*(B129:B1127="sterling silver earrings")*(D129:D1127)*(E129:E1127)) / SUMIFS(E129:E1127, A129:A1127, $L129, B129:B1127, "sterling silver earrings")</f>
        <v>0</v>
      </c>
      <c r="N129" s="7" cm="1">
        <f t="array" ref="N129">SUMPRODUCT((A129:A1127=$L129)*(B129:B1127="silver hoop earrings for women")*(D129:D1127)*(E129:E1127)) / SUMIFS(E129:E1127, A129:A1127, $L129, B129:B1127, "silver hoop earrings for women")</f>
        <v>0</v>
      </c>
      <c r="O129" s="7" t="e" cm="1">
        <f t="array" ref="O129">SUMPRODUCT((A129:A1127=$L129)*(B129:B1127="hoop earrings")*(D129:D1127)*(E129:E1127)) / SUMIFS(E129:E1127, A129:A1127, $L129, B129:B1127, "hoop earrings")</f>
        <v>#DIV/0!</v>
      </c>
      <c r="P129" s="7" t="e" cm="1">
        <f t="array" ref="P129">SUMPRODUCT((A129:A1127=$L129)*(B129:B1127="silver hoops")*(D129:D1127)*(E129:E1127)) / SUMIFS(E129:E1127, A129:A1127, $L129, B129:B1127, "silver hoops")</f>
        <v>#DIV/0!</v>
      </c>
      <c r="Q129" s="7" cm="1">
        <f t="array" ref="Q129">SUMPRODUCT((A129:A1127=$L129)*(B129:B1127="sterling silver hoop earrings")*(D129:D1127)*(E129:E1127)) / SUMIFS(E129:E1127, A129:A1127, $L129, B129:B1127, "sterling silver hoop earrings")</f>
        <v>0</v>
      </c>
      <c r="R129" s="7" cm="1">
        <f t="array" ref="R129">SUMPRODUCT((A129:A1127=$L129)*(B129:B1127="silver hoop earrings")*(D129:D1127)*(E129:E1127)) / SUMIFS(E129:E1127, A129:A1127, $L129, B129:B1127, "silver hoop earrings")</f>
        <v>0</v>
      </c>
      <c r="S129" s="7" t="e" cm="1">
        <f t="array" ref="S129">SUMPRODUCT((A129:A1127=$L129)*(B129:B1127="925 sterling silver earrings")*(D129:D1127)*(E129:E1127)) / SUMIFS(E129:E1127, A129:A1127, $L129, B129:B1127, "925 sterling silver earrings")</f>
        <v>#DIV/0!</v>
      </c>
      <c r="T129" s="7" t="e" cm="1">
        <f t="array" ref="T129">SUMPRODUCT((A129:A1127=$L129)*(B129:B1127="hoops")*(D129:D1127)*(E129:E1127)) / SUMIFS(E129:E1127, A129:A1127, $L129, B129:B1127, "hoops")</f>
        <v>#DIV/0!</v>
      </c>
      <c r="U129" s="7" t="e" cm="1">
        <f t="array" ref="U129">SUMPRODUCT((A129:A1127=$L129)*(B129:B1127="hoops earrings for women")*(D129:D1127)*(E129:E1127)) / SUMIFS(E129:E1127, A129:A1127, $L129, B129:B1127, "hoops earrings for women")</f>
        <v>#DIV/0!</v>
      </c>
      <c r="V129" s="7" t="e" cm="1">
        <f t="array" ref="V129">SUMPRODUCT((A129:A1127=$L129)*(B129:B1127="silver hoops earrings for women")*(D129:D1127)*(E129:E1127)) / SUMIFS(E129:E1127, A129:A1127, $L129, B129:B1127, "silver hoops earrings for women")</f>
        <v>#DIV/0!</v>
      </c>
    </row>
    <row r="130" spans="1:22" x14ac:dyDescent="0.2">
      <c r="A130">
        <v>20250221</v>
      </c>
      <c r="B130" t="s">
        <v>7</v>
      </c>
      <c r="C130" t="s">
        <v>8</v>
      </c>
      <c r="D130">
        <v>13</v>
      </c>
      <c r="E130">
        <v>54</v>
      </c>
      <c r="F130">
        <v>0</v>
      </c>
      <c r="G130">
        <v>0</v>
      </c>
      <c r="H130" s="1">
        <f t="shared" ref="H130:H193" si="5">DATE(LEFT(A130,4),MID(A130,5,2),RIGHT(A130,2))</f>
        <v>45709</v>
      </c>
      <c r="I130">
        <f t="shared" ref="I130:I193" si="6">WEEKNUM(H130)</f>
        <v>8</v>
      </c>
      <c r="L130" s="9" t="s">
        <v>171</v>
      </c>
      <c r="M130" t="e" cm="1">
        <f t="array" ref="M130">SUMPRODUCT((A130:A1128=$L130)*(B130:B1128="sterling silver earrings")*(D130:D1128)*(E130:E1128)) / SUMIFS(E130:E1128, A130:A1128, $L130, B130:B1128, "sterling silver earrings")</f>
        <v>#DIV/0!</v>
      </c>
      <c r="N130" s="7" t="e" cm="1">
        <f t="array" ref="N130">SUMPRODUCT((A130:A1128=$L130)*(B130:B1128="silver hoop earrings for women")*(D130:D1128)*(E130:E1128)) / SUMIFS(E130:E1128, A130:A1128, $L130, B130:B1128, "silver hoop earrings for women")</f>
        <v>#DIV/0!</v>
      </c>
      <c r="O130" s="7" t="e" cm="1">
        <f t="array" ref="O130">SUMPRODUCT((A130:A1128=$L130)*(B130:B1128="hoop earrings")*(D130:D1128)*(E130:E1128)) / SUMIFS(E130:E1128, A130:A1128, $L130, B130:B1128, "hoop earrings")</f>
        <v>#DIV/0!</v>
      </c>
      <c r="P130" s="7" t="e" cm="1">
        <f t="array" ref="P130">SUMPRODUCT((A130:A1128=$L130)*(B130:B1128="silver hoops")*(D130:D1128)*(E130:E1128)) / SUMIFS(E130:E1128, A130:A1128, $L130, B130:B1128, "silver hoops")</f>
        <v>#DIV/0!</v>
      </c>
      <c r="Q130" s="7" cm="1">
        <f t="array" ref="Q130">SUMPRODUCT((A130:A1128=$L130)*(B130:B1128="sterling silver hoop earrings")*(D130:D1128)*(E130:E1128)) / SUMIFS(E130:E1128, A130:A1128, $L130, B130:B1128, "sterling silver hoop earrings")</f>
        <v>0</v>
      </c>
      <c r="R130" s="7" cm="1">
        <f t="array" ref="R130">SUMPRODUCT((A130:A1128=$L130)*(B130:B1128="silver hoop earrings")*(D130:D1128)*(E130:E1128)) / SUMIFS(E130:E1128, A130:A1128, $L130, B130:B1128, "silver hoop earrings")</f>
        <v>0</v>
      </c>
      <c r="S130" s="7" t="e" cm="1">
        <f t="array" ref="S130">SUMPRODUCT((A130:A1128=$L130)*(B130:B1128="925 sterling silver earrings")*(D130:D1128)*(E130:E1128)) / SUMIFS(E130:E1128, A130:A1128, $L130, B130:B1128, "925 sterling silver earrings")</f>
        <v>#DIV/0!</v>
      </c>
      <c r="T130" s="7" t="e" cm="1">
        <f t="array" ref="T130">SUMPRODUCT((A130:A1128=$L130)*(B130:B1128="hoops")*(D130:D1128)*(E130:E1128)) / SUMIFS(E130:E1128, A130:A1128, $L130, B130:B1128, "hoops")</f>
        <v>#DIV/0!</v>
      </c>
      <c r="U130" s="7" t="e" cm="1">
        <f t="array" ref="U130">SUMPRODUCT((A130:A1128=$L130)*(B130:B1128="hoops earrings for women")*(D130:D1128)*(E130:E1128)) / SUMIFS(E130:E1128, A130:A1128, $L130, B130:B1128, "hoops earrings for women")</f>
        <v>#DIV/0!</v>
      </c>
      <c r="V130" s="7" t="e" cm="1">
        <f t="array" ref="V130">SUMPRODUCT((A130:A1128=$L130)*(B130:B1128="silver hoops earrings for women")*(D130:D1128)*(E130:E1128)) / SUMIFS(E130:E1128, A130:A1128, $L130, B130:B1128, "silver hoops earrings for women")</f>
        <v>#DIV/0!</v>
      </c>
    </row>
    <row r="131" spans="1:22" x14ac:dyDescent="0.2">
      <c r="A131">
        <v>20250222</v>
      </c>
      <c r="B131" t="s">
        <v>19</v>
      </c>
      <c r="C131" t="s">
        <v>8</v>
      </c>
      <c r="D131">
        <v>1</v>
      </c>
      <c r="E131">
        <v>31</v>
      </c>
      <c r="F131">
        <v>0</v>
      </c>
      <c r="G131">
        <v>0</v>
      </c>
      <c r="H131" s="1">
        <f t="shared" si="5"/>
        <v>45710</v>
      </c>
      <c r="I131">
        <f t="shared" si="6"/>
        <v>8</v>
      </c>
      <c r="L131" s="9" t="s">
        <v>172</v>
      </c>
      <c r="M131" cm="1">
        <f t="array" ref="M131">SUMPRODUCT((A131:A1129=$L131)*(B131:B1129="sterling silver earrings")*(D131:D1129)*(E131:E1129)) / SUMIFS(E131:E1129, A131:A1129, $L131, B131:B1129, "sterling silver earrings")</f>
        <v>0</v>
      </c>
      <c r="N131" s="7" cm="1">
        <f t="array" ref="N131">SUMPRODUCT((A131:A1129=$L131)*(B131:B1129="silver hoop earrings for women")*(D131:D1129)*(E131:E1129)) / SUMIFS(E131:E1129, A131:A1129, $L131, B131:B1129, "silver hoop earrings for women")</f>
        <v>0</v>
      </c>
      <c r="O131" s="7" t="e" cm="1">
        <f t="array" ref="O131">SUMPRODUCT((A131:A1129=$L131)*(B131:B1129="hoop earrings")*(D131:D1129)*(E131:E1129)) / SUMIFS(E131:E1129, A131:A1129, $L131, B131:B1129, "hoop earrings")</f>
        <v>#DIV/0!</v>
      </c>
      <c r="P131" s="7" t="e" cm="1">
        <f t="array" ref="P131">SUMPRODUCT((A131:A1129=$L131)*(B131:B1129="silver hoops")*(D131:D1129)*(E131:E1129)) / SUMIFS(E131:E1129, A131:A1129, $L131, B131:B1129, "silver hoops")</f>
        <v>#DIV/0!</v>
      </c>
      <c r="Q131" s="7" cm="1">
        <f t="array" ref="Q131">SUMPRODUCT((A131:A1129=$L131)*(B131:B1129="sterling silver hoop earrings")*(D131:D1129)*(E131:E1129)) / SUMIFS(E131:E1129, A131:A1129, $L131, B131:B1129, "sterling silver hoop earrings")</f>
        <v>0</v>
      </c>
      <c r="R131" s="7" t="e" cm="1">
        <f t="array" ref="R131">SUMPRODUCT((A131:A1129=$L131)*(B131:B1129="silver hoop earrings")*(D131:D1129)*(E131:E1129)) / SUMIFS(E131:E1129, A131:A1129, $L131, B131:B1129, "silver hoop earrings")</f>
        <v>#DIV/0!</v>
      </c>
      <c r="S131" s="7" cm="1">
        <f t="array" ref="S131">SUMPRODUCT((A131:A1129=$L131)*(B131:B1129="925 sterling silver earrings")*(D131:D1129)*(E131:E1129)) / SUMIFS(E131:E1129, A131:A1129, $L131, B131:B1129, "925 sterling silver earrings")</f>
        <v>0</v>
      </c>
      <c r="T131" s="7" t="e" cm="1">
        <f t="array" ref="T131">SUMPRODUCT((A131:A1129=$L131)*(B131:B1129="hoops")*(D131:D1129)*(E131:E1129)) / SUMIFS(E131:E1129, A131:A1129, $L131, B131:B1129, "hoops")</f>
        <v>#DIV/0!</v>
      </c>
      <c r="U131" s="7" t="e" cm="1">
        <f t="array" ref="U131">SUMPRODUCT((A131:A1129=$L131)*(B131:B1129="hoops earrings for women")*(D131:D1129)*(E131:E1129)) / SUMIFS(E131:E1129, A131:A1129, $L131, B131:B1129, "hoops earrings for women")</f>
        <v>#DIV/0!</v>
      </c>
      <c r="V131" s="7" t="e" cm="1">
        <f t="array" ref="V131">SUMPRODUCT((A131:A1129=$L131)*(B131:B1129="silver hoops earrings for women")*(D131:D1129)*(E131:E1129)) / SUMIFS(E131:E1129, A131:A1129, $L131, B131:B1129, "silver hoops earrings for women")</f>
        <v>#DIV/0!</v>
      </c>
    </row>
    <row r="132" spans="1:22" x14ac:dyDescent="0.2">
      <c r="A132">
        <v>20250222</v>
      </c>
      <c r="B132" t="s">
        <v>7</v>
      </c>
      <c r="C132" t="s">
        <v>8</v>
      </c>
      <c r="D132">
        <v>7</v>
      </c>
      <c r="E132">
        <v>84</v>
      </c>
      <c r="F132">
        <v>0</v>
      </c>
      <c r="G132">
        <v>1</v>
      </c>
      <c r="H132" s="1">
        <f t="shared" si="5"/>
        <v>45710</v>
      </c>
      <c r="I132">
        <f t="shared" si="6"/>
        <v>8</v>
      </c>
      <c r="L132" s="9" t="s">
        <v>173</v>
      </c>
      <c r="M132" cm="1">
        <f t="array" ref="M132">SUMPRODUCT((A132:A1130=$L132)*(B132:B1130="sterling silver earrings")*(D132:D1130)*(E132:E1130)) / SUMIFS(E132:E1130, A132:A1130, $L132, B132:B1130, "sterling silver earrings")</f>
        <v>0</v>
      </c>
      <c r="N132" s="7" cm="1">
        <f t="array" ref="N132">SUMPRODUCT((A132:A1130=$L132)*(B132:B1130="silver hoop earrings for women")*(D132:D1130)*(E132:E1130)) / SUMIFS(E132:E1130, A132:A1130, $L132, B132:B1130, "silver hoop earrings for women")</f>
        <v>0</v>
      </c>
      <c r="O132" s="7" t="e" cm="1">
        <f t="array" ref="O132">SUMPRODUCT((A132:A1130=$L132)*(B132:B1130="hoop earrings")*(D132:D1130)*(E132:E1130)) / SUMIFS(E132:E1130, A132:A1130, $L132, B132:B1130, "hoop earrings")</f>
        <v>#DIV/0!</v>
      </c>
      <c r="P132" s="7" cm="1">
        <f t="array" ref="P132">SUMPRODUCT((A132:A1130=$L132)*(B132:B1130="silver hoops")*(D132:D1130)*(E132:E1130)) / SUMIFS(E132:E1130, A132:A1130, $L132, B132:B1130, "silver hoops")</f>
        <v>0</v>
      </c>
      <c r="Q132" s="7" cm="1">
        <f t="array" ref="Q132">SUMPRODUCT((A132:A1130=$L132)*(B132:B1130="sterling silver hoop earrings")*(D132:D1130)*(E132:E1130)) / SUMIFS(E132:E1130, A132:A1130, $L132, B132:B1130, "sterling silver hoop earrings")</f>
        <v>0</v>
      </c>
      <c r="R132" s="7" t="e" cm="1">
        <f t="array" ref="R132">SUMPRODUCT((A132:A1130=$L132)*(B132:B1130="silver hoop earrings")*(D132:D1130)*(E132:E1130)) / SUMIFS(E132:E1130, A132:A1130, $L132, B132:B1130, "silver hoop earrings")</f>
        <v>#DIV/0!</v>
      </c>
      <c r="S132" s="7" t="e" cm="1">
        <f t="array" ref="S132">SUMPRODUCT((A132:A1130=$L132)*(B132:B1130="925 sterling silver earrings")*(D132:D1130)*(E132:E1130)) / SUMIFS(E132:E1130, A132:A1130, $L132, B132:B1130, "925 sterling silver earrings")</f>
        <v>#DIV/0!</v>
      </c>
      <c r="T132" s="7" t="e" cm="1">
        <f t="array" ref="T132">SUMPRODUCT((A132:A1130=$L132)*(B132:B1130="hoops")*(D132:D1130)*(E132:E1130)) / SUMIFS(E132:E1130, A132:A1130, $L132, B132:B1130, "hoops")</f>
        <v>#DIV/0!</v>
      </c>
      <c r="U132" s="7" t="e" cm="1">
        <f t="array" ref="U132">SUMPRODUCT((A132:A1130=$L132)*(B132:B1130="hoops earrings for women")*(D132:D1130)*(E132:E1130)) / SUMIFS(E132:E1130, A132:A1130, $L132, B132:B1130, "hoops earrings for women")</f>
        <v>#DIV/0!</v>
      </c>
      <c r="V132" s="7" t="e" cm="1">
        <f t="array" ref="V132">SUMPRODUCT((A132:A1130=$L132)*(B132:B1130="silver hoops earrings for women")*(D132:D1130)*(E132:E1130)) / SUMIFS(E132:E1130, A132:A1130, $L132, B132:B1130, "silver hoops earrings for women")</f>
        <v>#DIV/0!</v>
      </c>
    </row>
    <row r="133" spans="1:22" x14ac:dyDescent="0.2">
      <c r="A133">
        <v>20250223</v>
      </c>
      <c r="B133" t="s">
        <v>7</v>
      </c>
      <c r="C133" t="s">
        <v>8</v>
      </c>
      <c r="D133">
        <v>10</v>
      </c>
      <c r="E133">
        <v>75.3</v>
      </c>
      <c r="F133">
        <v>0</v>
      </c>
      <c r="G133">
        <v>0</v>
      </c>
      <c r="H133" s="1">
        <f t="shared" si="5"/>
        <v>45711</v>
      </c>
      <c r="I133">
        <f t="shared" si="6"/>
        <v>9</v>
      </c>
      <c r="L133" s="9" t="s">
        <v>174</v>
      </c>
      <c r="M133" t="e" cm="1">
        <f t="array" ref="M133">SUMPRODUCT((A133:A1131=$L133)*(B133:B1131="sterling silver earrings")*(D133:D1131)*(E133:E1131)) / SUMIFS(E133:E1131, A133:A1131, $L133, B133:B1131, "sterling silver earrings")</f>
        <v>#DIV/0!</v>
      </c>
      <c r="N133" s="7" cm="1">
        <f t="array" ref="N133">SUMPRODUCT((A133:A1131=$L133)*(B133:B1131="silver hoop earrings for women")*(D133:D1131)*(E133:E1131)) / SUMIFS(E133:E1131, A133:A1131, $L133, B133:B1131, "silver hoop earrings for women")</f>
        <v>0</v>
      </c>
      <c r="O133" s="7" t="e" cm="1">
        <f t="array" ref="O133">SUMPRODUCT((A133:A1131=$L133)*(B133:B1131="hoop earrings")*(D133:D1131)*(E133:E1131)) / SUMIFS(E133:E1131, A133:A1131, $L133, B133:B1131, "hoop earrings")</f>
        <v>#DIV/0!</v>
      </c>
      <c r="P133" s="7" t="e" cm="1">
        <f t="array" ref="P133">SUMPRODUCT((A133:A1131=$L133)*(B133:B1131="silver hoops")*(D133:D1131)*(E133:E1131)) / SUMIFS(E133:E1131, A133:A1131, $L133, B133:B1131, "silver hoops")</f>
        <v>#DIV/0!</v>
      </c>
      <c r="Q133" s="7" t="e" cm="1">
        <f t="array" ref="Q133">SUMPRODUCT((A133:A1131=$L133)*(B133:B1131="sterling silver hoop earrings")*(D133:D1131)*(E133:E1131)) / SUMIFS(E133:E1131, A133:A1131, $L133, B133:B1131, "sterling silver hoop earrings")</f>
        <v>#DIV/0!</v>
      </c>
      <c r="R133" s="7" cm="1">
        <f t="array" ref="R133">SUMPRODUCT((A133:A1131=$L133)*(B133:B1131="silver hoop earrings")*(D133:D1131)*(E133:E1131)) / SUMIFS(E133:E1131, A133:A1131, $L133, B133:B1131, "silver hoop earrings")</f>
        <v>0</v>
      </c>
      <c r="S133" s="7" t="e" cm="1">
        <f t="array" ref="S133">SUMPRODUCT((A133:A1131=$L133)*(B133:B1131="925 sterling silver earrings")*(D133:D1131)*(E133:E1131)) / SUMIFS(E133:E1131, A133:A1131, $L133, B133:B1131, "925 sterling silver earrings")</f>
        <v>#DIV/0!</v>
      </c>
      <c r="T133" s="7" t="e" cm="1">
        <f t="array" ref="T133">SUMPRODUCT((A133:A1131=$L133)*(B133:B1131="hoops")*(D133:D1131)*(E133:E1131)) / SUMIFS(E133:E1131, A133:A1131, $L133, B133:B1131, "hoops")</f>
        <v>#DIV/0!</v>
      </c>
      <c r="U133" s="7" t="e" cm="1">
        <f t="array" ref="U133">SUMPRODUCT((A133:A1131=$L133)*(B133:B1131="hoops earrings for women")*(D133:D1131)*(E133:E1131)) / SUMIFS(E133:E1131, A133:A1131, $L133, B133:B1131, "hoops earrings for women")</f>
        <v>#DIV/0!</v>
      </c>
      <c r="V133" s="7" t="e" cm="1">
        <f t="array" ref="V133">SUMPRODUCT((A133:A1131=$L133)*(B133:B1131="silver hoops earrings for women")*(D133:D1131)*(E133:E1131)) / SUMIFS(E133:E1131, A133:A1131, $L133, B133:B1131, "silver hoops earrings for women")</f>
        <v>#DIV/0!</v>
      </c>
    </row>
    <row r="134" spans="1:22" x14ac:dyDescent="0.2">
      <c r="A134">
        <v>20250223</v>
      </c>
      <c r="B134" t="s">
        <v>10</v>
      </c>
      <c r="C134" t="s">
        <v>8</v>
      </c>
      <c r="D134">
        <v>2</v>
      </c>
      <c r="E134">
        <v>16.5</v>
      </c>
      <c r="F134">
        <v>0</v>
      </c>
      <c r="G134">
        <v>0</v>
      </c>
      <c r="H134" s="1">
        <f t="shared" si="5"/>
        <v>45711</v>
      </c>
      <c r="I134">
        <f t="shared" si="6"/>
        <v>9</v>
      </c>
      <c r="L134" s="9" t="s">
        <v>175</v>
      </c>
      <c r="M134" cm="1">
        <f t="array" ref="M134">SUMPRODUCT((A134:A1132=$L134)*(B134:B1132="sterling silver earrings")*(D134:D1132)*(E134:E1132)) / SUMIFS(E134:E1132, A134:A1132, $L134, B134:B1132, "sterling silver earrings")</f>
        <v>0</v>
      </c>
      <c r="N134" s="7" cm="1">
        <f t="array" ref="N134">SUMPRODUCT((A134:A1132=$L134)*(B134:B1132="silver hoop earrings for women")*(D134:D1132)*(E134:E1132)) / SUMIFS(E134:E1132, A134:A1132, $L134, B134:B1132, "silver hoop earrings for women")</f>
        <v>0</v>
      </c>
      <c r="O134" s="7" cm="1">
        <f t="array" ref="O134">SUMPRODUCT((A134:A1132=$L134)*(B134:B1132="hoop earrings")*(D134:D1132)*(E134:E1132)) / SUMIFS(E134:E1132, A134:A1132, $L134, B134:B1132, "hoop earrings")</f>
        <v>0</v>
      </c>
      <c r="P134" s="7" t="e" cm="1">
        <f t="array" ref="P134">SUMPRODUCT((A134:A1132=$L134)*(B134:B1132="silver hoops")*(D134:D1132)*(E134:E1132)) / SUMIFS(E134:E1132, A134:A1132, $L134, B134:B1132, "silver hoops")</f>
        <v>#DIV/0!</v>
      </c>
      <c r="Q134" s="7" cm="1">
        <f t="array" ref="Q134">SUMPRODUCT((A134:A1132=$L134)*(B134:B1132="sterling silver hoop earrings")*(D134:D1132)*(E134:E1132)) / SUMIFS(E134:E1132, A134:A1132, $L134, B134:B1132, "sterling silver hoop earrings")</f>
        <v>0</v>
      </c>
      <c r="R134" s="7" cm="1">
        <f t="array" ref="R134">SUMPRODUCT((A134:A1132=$L134)*(B134:B1132="silver hoop earrings")*(D134:D1132)*(E134:E1132)) / SUMIFS(E134:E1132, A134:A1132, $L134, B134:B1132, "silver hoop earrings")</f>
        <v>0</v>
      </c>
      <c r="S134" s="7" cm="1">
        <f t="array" ref="S134">SUMPRODUCT((A134:A1132=$L134)*(B134:B1132="925 sterling silver earrings")*(D134:D1132)*(E134:E1132)) / SUMIFS(E134:E1132, A134:A1132, $L134, B134:B1132, "925 sterling silver earrings")</f>
        <v>0</v>
      </c>
      <c r="T134" s="7" t="e" cm="1">
        <f t="array" ref="T134">SUMPRODUCT((A134:A1132=$L134)*(B134:B1132="hoops")*(D134:D1132)*(E134:E1132)) / SUMIFS(E134:E1132, A134:A1132, $L134, B134:B1132, "hoops")</f>
        <v>#DIV/0!</v>
      </c>
      <c r="U134" s="7" t="e" cm="1">
        <f t="array" ref="U134">SUMPRODUCT((A134:A1132=$L134)*(B134:B1132="hoops earrings for women")*(D134:D1132)*(E134:E1132)) / SUMIFS(E134:E1132, A134:A1132, $L134, B134:B1132, "hoops earrings for women")</f>
        <v>#DIV/0!</v>
      </c>
      <c r="V134" s="7" t="e" cm="1">
        <f t="array" ref="V134">SUMPRODUCT((A134:A1132=$L134)*(B134:B1132="silver hoops earrings for women")*(D134:D1132)*(E134:E1132)) / SUMIFS(E134:E1132, A134:A1132, $L134, B134:B1132, "silver hoops earrings for women")</f>
        <v>#DIV/0!</v>
      </c>
    </row>
    <row r="135" spans="1:22" x14ac:dyDescent="0.2">
      <c r="A135">
        <v>20250224</v>
      </c>
      <c r="B135" t="s">
        <v>7</v>
      </c>
      <c r="C135" t="s">
        <v>8</v>
      </c>
      <c r="D135">
        <v>3</v>
      </c>
      <c r="E135">
        <v>36.6666666666666</v>
      </c>
      <c r="F135">
        <v>0</v>
      </c>
      <c r="G135">
        <v>0</v>
      </c>
      <c r="H135" s="1">
        <f t="shared" si="5"/>
        <v>45712</v>
      </c>
      <c r="I135">
        <f t="shared" si="6"/>
        <v>9</v>
      </c>
      <c r="L135" s="9" t="s">
        <v>176</v>
      </c>
      <c r="M135" t="e" cm="1">
        <f t="array" ref="M135">SUMPRODUCT((A135:A1133=$L135)*(B135:B1133="sterling silver earrings")*(D135:D1133)*(E135:E1133)) / SUMIFS(E135:E1133, A135:A1133, $L135, B135:B1133, "sterling silver earrings")</f>
        <v>#DIV/0!</v>
      </c>
      <c r="N135" s="7" cm="1">
        <f t="array" ref="N135">SUMPRODUCT((A135:A1133=$L135)*(B135:B1133="silver hoop earrings for women")*(D135:D1133)*(E135:E1133)) / SUMIFS(E135:E1133, A135:A1133, $L135, B135:B1133, "silver hoop earrings for women")</f>
        <v>0</v>
      </c>
      <c r="O135" s="7" t="e" cm="1">
        <f t="array" ref="O135">SUMPRODUCT((A135:A1133=$L135)*(B135:B1133="hoop earrings")*(D135:D1133)*(E135:E1133)) / SUMIFS(E135:E1133, A135:A1133, $L135, B135:B1133, "hoop earrings")</f>
        <v>#DIV/0!</v>
      </c>
      <c r="P135" s="7" t="e" cm="1">
        <f t="array" ref="P135">SUMPRODUCT((A135:A1133=$L135)*(B135:B1133="silver hoops")*(D135:D1133)*(E135:E1133)) / SUMIFS(E135:E1133, A135:A1133, $L135, B135:B1133, "silver hoops")</f>
        <v>#DIV/0!</v>
      </c>
      <c r="Q135" s="7" cm="1">
        <f t="array" ref="Q135">SUMPRODUCT((A135:A1133=$L135)*(B135:B1133="sterling silver hoop earrings")*(D135:D1133)*(E135:E1133)) / SUMIFS(E135:E1133, A135:A1133, $L135, B135:B1133, "sterling silver hoop earrings")</f>
        <v>0</v>
      </c>
      <c r="R135" s="7" cm="1">
        <f t="array" ref="R135">SUMPRODUCT((A135:A1133=$L135)*(B135:B1133="silver hoop earrings")*(D135:D1133)*(E135:E1133)) / SUMIFS(E135:E1133, A135:A1133, $L135, B135:B1133, "silver hoop earrings")</f>
        <v>0</v>
      </c>
      <c r="S135" s="7" cm="1">
        <f t="array" ref="S135">SUMPRODUCT((A135:A1133=$L135)*(B135:B1133="925 sterling silver earrings")*(D135:D1133)*(E135:E1133)) / SUMIFS(E135:E1133, A135:A1133, $L135, B135:B1133, "925 sterling silver earrings")</f>
        <v>0</v>
      </c>
      <c r="T135" s="7" t="e" cm="1">
        <f t="array" ref="T135">SUMPRODUCT((A135:A1133=$L135)*(B135:B1133="hoops")*(D135:D1133)*(E135:E1133)) / SUMIFS(E135:E1133, A135:A1133, $L135, B135:B1133, "hoops")</f>
        <v>#DIV/0!</v>
      </c>
      <c r="U135" s="7" t="e" cm="1">
        <f t="array" ref="U135">SUMPRODUCT((A135:A1133=$L135)*(B135:B1133="hoops earrings for women")*(D135:D1133)*(E135:E1133)) / SUMIFS(E135:E1133, A135:A1133, $L135, B135:B1133, "hoops earrings for women")</f>
        <v>#DIV/0!</v>
      </c>
      <c r="V135" s="7" t="e" cm="1">
        <f t="array" ref="V135">SUMPRODUCT((A135:A1133=$L135)*(B135:B1133="silver hoops earrings for women")*(D135:D1133)*(E135:E1133)) / SUMIFS(E135:E1133, A135:A1133, $L135, B135:B1133, "silver hoops earrings for women")</f>
        <v>#DIV/0!</v>
      </c>
    </row>
    <row r="136" spans="1:22" x14ac:dyDescent="0.2">
      <c r="A136">
        <v>20250225</v>
      </c>
      <c r="B136" t="s">
        <v>7</v>
      </c>
      <c r="C136" t="s">
        <v>8</v>
      </c>
      <c r="D136">
        <v>4</v>
      </c>
      <c r="E136">
        <v>39.25</v>
      </c>
      <c r="F136">
        <v>0</v>
      </c>
      <c r="G136">
        <v>0</v>
      </c>
      <c r="H136" s="1">
        <f t="shared" si="5"/>
        <v>45713</v>
      </c>
      <c r="I136">
        <f t="shared" si="6"/>
        <v>9</v>
      </c>
      <c r="L136" s="9" t="s">
        <v>177</v>
      </c>
      <c r="M136" t="e" cm="1">
        <f t="array" ref="M136">SUMPRODUCT((A136:A1134=$L136)*(B136:B1134="sterling silver earrings")*(D136:D1134)*(E136:E1134)) / SUMIFS(E136:E1134, A136:A1134, $L136, B136:B1134, "sterling silver earrings")</f>
        <v>#DIV/0!</v>
      </c>
      <c r="N136" s="7" cm="1">
        <f t="array" ref="N136">SUMPRODUCT((A136:A1134=$L136)*(B136:B1134="silver hoop earrings for women")*(D136:D1134)*(E136:E1134)) / SUMIFS(E136:E1134, A136:A1134, $L136, B136:B1134, "silver hoop earrings for women")</f>
        <v>0</v>
      </c>
      <c r="O136" s="7" t="e" cm="1">
        <f t="array" ref="O136">SUMPRODUCT((A136:A1134=$L136)*(B136:B1134="hoop earrings")*(D136:D1134)*(E136:E1134)) / SUMIFS(E136:E1134, A136:A1134, $L136, B136:B1134, "hoop earrings")</f>
        <v>#DIV/0!</v>
      </c>
      <c r="P136" s="7" t="e" cm="1">
        <f t="array" ref="P136">SUMPRODUCT((A136:A1134=$L136)*(B136:B1134="silver hoops")*(D136:D1134)*(E136:E1134)) / SUMIFS(E136:E1134, A136:A1134, $L136, B136:B1134, "silver hoops")</f>
        <v>#DIV/0!</v>
      </c>
      <c r="Q136" s="7" cm="1">
        <f t="array" ref="Q136">SUMPRODUCT((A136:A1134=$L136)*(B136:B1134="sterling silver hoop earrings")*(D136:D1134)*(E136:E1134)) / SUMIFS(E136:E1134, A136:A1134, $L136, B136:B1134, "sterling silver hoop earrings")</f>
        <v>0</v>
      </c>
      <c r="R136" s="7" t="e" cm="1">
        <f t="array" ref="R136">SUMPRODUCT((A136:A1134=$L136)*(B136:B1134="silver hoop earrings")*(D136:D1134)*(E136:E1134)) / SUMIFS(E136:E1134, A136:A1134, $L136, B136:B1134, "silver hoop earrings")</f>
        <v>#DIV/0!</v>
      </c>
      <c r="S136" s="7" cm="1">
        <f t="array" ref="S136">SUMPRODUCT((A136:A1134=$L136)*(B136:B1134="925 sterling silver earrings")*(D136:D1134)*(E136:E1134)) / SUMIFS(E136:E1134, A136:A1134, $L136, B136:B1134, "925 sterling silver earrings")</f>
        <v>0</v>
      </c>
      <c r="T136" s="7" t="e" cm="1">
        <f t="array" ref="T136">SUMPRODUCT((A136:A1134=$L136)*(B136:B1134="hoops")*(D136:D1134)*(E136:E1134)) / SUMIFS(E136:E1134, A136:A1134, $L136, B136:B1134, "hoops")</f>
        <v>#DIV/0!</v>
      </c>
      <c r="U136" s="7" t="e" cm="1">
        <f t="array" ref="U136">SUMPRODUCT((A136:A1134=$L136)*(B136:B1134="hoops earrings for women")*(D136:D1134)*(E136:E1134)) / SUMIFS(E136:E1134, A136:A1134, $L136, B136:B1134, "hoops earrings for women")</f>
        <v>#DIV/0!</v>
      </c>
      <c r="V136" s="7" t="e" cm="1">
        <f t="array" ref="V136">SUMPRODUCT((A136:A1134=$L136)*(B136:B1134="silver hoops earrings for women")*(D136:D1134)*(E136:E1134)) / SUMIFS(E136:E1134, A136:A1134, $L136, B136:B1134, "silver hoops earrings for women")</f>
        <v>#DIV/0!</v>
      </c>
    </row>
    <row r="137" spans="1:22" x14ac:dyDescent="0.2">
      <c r="A137">
        <v>20250225</v>
      </c>
      <c r="B137" t="s">
        <v>10</v>
      </c>
      <c r="C137" t="s">
        <v>17</v>
      </c>
      <c r="D137">
        <v>3</v>
      </c>
      <c r="E137">
        <v>1</v>
      </c>
      <c r="F137">
        <v>0</v>
      </c>
      <c r="G137">
        <v>5</v>
      </c>
      <c r="H137" s="1">
        <f t="shared" si="5"/>
        <v>45713</v>
      </c>
      <c r="I137">
        <f t="shared" si="6"/>
        <v>9</v>
      </c>
      <c r="L137" s="9" t="s">
        <v>178</v>
      </c>
      <c r="M137" cm="1">
        <f t="array" ref="M137">SUMPRODUCT((A137:A1135=$L137)*(B137:B1135="sterling silver earrings")*(D137:D1135)*(E137:E1135)) / SUMIFS(E137:E1135, A137:A1135, $L137, B137:B1135, "sterling silver earrings")</f>
        <v>0</v>
      </c>
      <c r="N137" s="7" cm="1">
        <f t="array" ref="N137">SUMPRODUCT((A137:A1135=$L137)*(B137:B1135="silver hoop earrings for women")*(D137:D1135)*(E137:E1135)) / SUMIFS(E137:E1135, A137:A1135, $L137, B137:B1135, "silver hoop earrings for women")</f>
        <v>0</v>
      </c>
      <c r="O137" s="7" t="e" cm="1">
        <f t="array" ref="O137">SUMPRODUCT((A137:A1135=$L137)*(B137:B1135="hoop earrings")*(D137:D1135)*(E137:E1135)) / SUMIFS(E137:E1135, A137:A1135, $L137, B137:B1135, "hoop earrings")</f>
        <v>#DIV/0!</v>
      </c>
      <c r="P137" s="7" t="e" cm="1">
        <f t="array" ref="P137">SUMPRODUCT((A137:A1135=$L137)*(B137:B1135="silver hoops")*(D137:D1135)*(E137:E1135)) / SUMIFS(E137:E1135, A137:A1135, $L137, B137:B1135, "silver hoops")</f>
        <v>#DIV/0!</v>
      </c>
      <c r="Q137" s="7" cm="1">
        <f t="array" ref="Q137">SUMPRODUCT((A137:A1135=$L137)*(B137:B1135="sterling silver hoop earrings")*(D137:D1135)*(E137:E1135)) / SUMIFS(E137:E1135, A137:A1135, $L137, B137:B1135, "sterling silver hoop earrings")</f>
        <v>0</v>
      </c>
      <c r="R137" s="7" t="e" cm="1">
        <f t="array" ref="R137">SUMPRODUCT((A137:A1135=$L137)*(B137:B1135="silver hoop earrings")*(D137:D1135)*(E137:E1135)) / SUMIFS(E137:E1135, A137:A1135, $L137, B137:B1135, "silver hoop earrings")</f>
        <v>#DIV/0!</v>
      </c>
      <c r="S137" s="7" t="e" cm="1">
        <f t="array" ref="S137">SUMPRODUCT((A137:A1135=$L137)*(B137:B1135="925 sterling silver earrings")*(D137:D1135)*(E137:E1135)) / SUMIFS(E137:E1135, A137:A1135, $L137, B137:B1135, "925 sterling silver earrings")</f>
        <v>#DIV/0!</v>
      </c>
      <c r="T137" s="7" t="e" cm="1">
        <f t="array" ref="T137">SUMPRODUCT((A137:A1135=$L137)*(B137:B1135="hoops")*(D137:D1135)*(E137:E1135)) / SUMIFS(E137:E1135, A137:A1135, $L137, B137:B1135, "hoops")</f>
        <v>#DIV/0!</v>
      </c>
      <c r="U137" s="7" t="e" cm="1">
        <f t="array" ref="U137">SUMPRODUCT((A137:A1135=$L137)*(B137:B1135="hoops earrings for women")*(D137:D1135)*(E137:E1135)) / SUMIFS(E137:E1135, A137:A1135, $L137, B137:B1135, "hoops earrings for women")</f>
        <v>#DIV/0!</v>
      </c>
      <c r="V137" s="7" t="e" cm="1">
        <f t="array" ref="V137">SUMPRODUCT((A137:A1135=$L137)*(B137:B1135="silver hoops earrings for women")*(D137:D1135)*(E137:E1135)) / SUMIFS(E137:E1135, A137:A1135, $L137, B137:B1135, "silver hoops earrings for women")</f>
        <v>#DIV/0!</v>
      </c>
    </row>
    <row r="138" spans="1:22" x14ac:dyDescent="0.2">
      <c r="A138">
        <v>20250226</v>
      </c>
      <c r="B138" t="s">
        <v>7</v>
      </c>
      <c r="C138" t="s">
        <v>8</v>
      </c>
      <c r="D138">
        <v>1</v>
      </c>
      <c r="E138">
        <v>31</v>
      </c>
      <c r="F138">
        <v>0</v>
      </c>
      <c r="G138">
        <v>0</v>
      </c>
      <c r="H138" s="1">
        <f t="shared" si="5"/>
        <v>45714</v>
      </c>
      <c r="I138">
        <f t="shared" si="6"/>
        <v>9</v>
      </c>
      <c r="L138" s="9" t="s">
        <v>179</v>
      </c>
      <c r="M138" cm="1">
        <f t="array" ref="M138">SUMPRODUCT((A138:A1136=$L138)*(B138:B1136="sterling silver earrings")*(D138:D1136)*(E138:E1136)) / SUMIFS(E138:E1136, A138:A1136, $L138, B138:B1136, "sterling silver earrings")</f>
        <v>0</v>
      </c>
      <c r="N138" s="7" cm="1">
        <f t="array" ref="N138">SUMPRODUCT((A138:A1136=$L138)*(B138:B1136="silver hoop earrings for women")*(D138:D1136)*(E138:E1136)) / SUMIFS(E138:E1136, A138:A1136, $L138, B138:B1136, "silver hoop earrings for women")</f>
        <v>0</v>
      </c>
      <c r="O138" s="7" t="e" cm="1">
        <f t="array" ref="O138">SUMPRODUCT((A138:A1136=$L138)*(B138:B1136="hoop earrings")*(D138:D1136)*(E138:E1136)) / SUMIFS(E138:E1136, A138:A1136, $L138, B138:B1136, "hoop earrings")</f>
        <v>#DIV/0!</v>
      </c>
      <c r="P138" s="7" t="e" cm="1">
        <f t="array" ref="P138">SUMPRODUCT((A138:A1136=$L138)*(B138:B1136="silver hoops")*(D138:D1136)*(E138:E1136)) / SUMIFS(E138:E1136, A138:A1136, $L138, B138:B1136, "silver hoops")</f>
        <v>#DIV/0!</v>
      </c>
      <c r="Q138" s="7" cm="1">
        <f t="array" ref="Q138">SUMPRODUCT((A138:A1136=$L138)*(B138:B1136="sterling silver hoop earrings")*(D138:D1136)*(E138:E1136)) / SUMIFS(E138:E1136, A138:A1136, $L138, B138:B1136, "sterling silver hoop earrings")</f>
        <v>0</v>
      </c>
      <c r="R138" s="7" cm="1">
        <f t="array" ref="R138">SUMPRODUCT((A138:A1136=$L138)*(B138:B1136="silver hoop earrings")*(D138:D1136)*(E138:E1136)) / SUMIFS(E138:E1136, A138:A1136, $L138, B138:B1136, "silver hoop earrings")</f>
        <v>0</v>
      </c>
      <c r="S138" s="7" cm="1">
        <f t="array" ref="S138">SUMPRODUCT((A138:A1136=$L138)*(B138:B1136="925 sterling silver earrings")*(D138:D1136)*(E138:E1136)) / SUMIFS(E138:E1136, A138:A1136, $L138, B138:B1136, "925 sterling silver earrings")</f>
        <v>0</v>
      </c>
      <c r="T138" s="7" t="e" cm="1">
        <f t="array" ref="T138">SUMPRODUCT((A138:A1136=$L138)*(B138:B1136="hoops")*(D138:D1136)*(E138:E1136)) / SUMIFS(E138:E1136, A138:A1136, $L138, B138:B1136, "hoops")</f>
        <v>#DIV/0!</v>
      </c>
      <c r="U138" s="7" t="e" cm="1">
        <f t="array" ref="U138">SUMPRODUCT((A138:A1136=$L138)*(B138:B1136="hoops earrings for women")*(D138:D1136)*(E138:E1136)) / SUMIFS(E138:E1136, A138:A1136, $L138, B138:B1136, "hoops earrings for women")</f>
        <v>#DIV/0!</v>
      </c>
      <c r="V138" s="7" t="e" cm="1">
        <f t="array" ref="V138">SUMPRODUCT((A138:A1136=$L138)*(B138:B1136="silver hoops earrings for women")*(D138:D1136)*(E138:E1136)) / SUMIFS(E138:E1136, A138:A1136, $L138, B138:B1136, "silver hoops earrings for women")</f>
        <v>#DIV/0!</v>
      </c>
    </row>
    <row r="139" spans="1:22" x14ac:dyDescent="0.2">
      <c r="A139">
        <v>20250226</v>
      </c>
      <c r="B139" t="s">
        <v>9</v>
      </c>
      <c r="C139" t="s">
        <v>13</v>
      </c>
      <c r="D139">
        <v>1</v>
      </c>
      <c r="E139">
        <v>1</v>
      </c>
      <c r="F139">
        <v>0</v>
      </c>
      <c r="G139">
        <v>0</v>
      </c>
      <c r="H139" s="1">
        <f t="shared" si="5"/>
        <v>45714</v>
      </c>
      <c r="I139">
        <f t="shared" si="6"/>
        <v>9</v>
      </c>
      <c r="L139" s="9" t="s">
        <v>180</v>
      </c>
      <c r="M139" cm="1">
        <f t="array" ref="M139">SUMPRODUCT((A139:A1137=$L139)*(B139:B1137="sterling silver earrings")*(D139:D1137)*(E139:E1137)) / SUMIFS(E139:E1137, A139:A1137, $L139, B139:B1137, "sterling silver earrings")</f>
        <v>0</v>
      </c>
      <c r="N139" s="7" cm="1">
        <f t="array" ref="N139">SUMPRODUCT((A139:A1137=$L139)*(B139:B1137="silver hoop earrings for women")*(D139:D1137)*(E139:E1137)) / SUMIFS(E139:E1137, A139:A1137, $L139, B139:B1137, "silver hoop earrings for women")</f>
        <v>0</v>
      </c>
      <c r="O139" s="7" t="e" cm="1">
        <f t="array" ref="O139">SUMPRODUCT((A139:A1137=$L139)*(B139:B1137="hoop earrings")*(D139:D1137)*(E139:E1137)) / SUMIFS(E139:E1137, A139:A1137, $L139, B139:B1137, "hoop earrings")</f>
        <v>#DIV/0!</v>
      </c>
      <c r="P139" s="7" t="e" cm="1">
        <f t="array" ref="P139">SUMPRODUCT((A139:A1137=$L139)*(B139:B1137="silver hoops")*(D139:D1137)*(E139:E1137)) / SUMIFS(E139:E1137, A139:A1137, $L139, B139:B1137, "silver hoops")</f>
        <v>#DIV/0!</v>
      </c>
      <c r="Q139" s="7" cm="1">
        <f t="array" ref="Q139">SUMPRODUCT((A139:A1137=$L139)*(B139:B1137="sterling silver hoop earrings")*(D139:D1137)*(E139:E1137)) / SUMIFS(E139:E1137, A139:A1137, $L139, B139:B1137, "sterling silver hoop earrings")</f>
        <v>0</v>
      </c>
      <c r="R139" s="7" cm="1">
        <f t="array" ref="R139">SUMPRODUCT((A139:A1137=$L139)*(B139:B1137="silver hoop earrings")*(D139:D1137)*(E139:E1137)) / SUMIFS(E139:E1137, A139:A1137, $L139, B139:B1137, "silver hoop earrings")</f>
        <v>0</v>
      </c>
      <c r="S139" s="7" t="e" cm="1">
        <f t="array" ref="S139">SUMPRODUCT((A139:A1137=$L139)*(B139:B1137="925 sterling silver earrings")*(D139:D1137)*(E139:E1137)) / SUMIFS(E139:E1137, A139:A1137, $L139, B139:B1137, "925 sterling silver earrings")</f>
        <v>#DIV/0!</v>
      </c>
      <c r="T139" s="7" t="e" cm="1">
        <f t="array" ref="T139">SUMPRODUCT((A139:A1137=$L139)*(B139:B1137="hoops")*(D139:D1137)*(E139:E1137)) / SUMIFS(E139:E1137, A139:A1137, $L139, B139:B1137, "hoops")</f>
        <v>#DIV/0!</v>
      </c>
      <c r="U139" s="7" t="e" cm="1">
        <f t="array" ref="U139">SUMPRODUCT((A139:A1137=$L139)*(B139:B1137="hoops earrings for women")*(D139:D1137)*(E139:E1137)) / SUMIFS(E139:E1137, A139:A1137, $L139, B139:B1137, "hoops earrings for women")</f>
        <v>#DIV/0!</v>
      </c>
      <c r="V139" s="7" t="e" cm="1">
        <f t="array" ref="V139">SUMPRODUCT((A139:A1137=$L139)*(B139:B1137="silver hoops earrings for women")*(D139:D1137)*(E139:E1137)) / SUMIFS(E139:E1137, A139:A1137, $L139, B139:B1137, "silver hoops earrings for women")</f>
        <v>#DIV/0!</v>
      </c>
    </row>
    <row r="140" spans="1:22" x14ac:dyDescent="0.2">
      <c r="A140">
        <v>20250226</v>
      </c>
      <c r="B140" t="s">
        <v>9</v>
      </c>
      <c r="C140" t="s">
        <v>8</v>
      </c>
      <c r="D140">
        <v>1</v>
      </c>
      <c r="E140">
        <v>37</v>
      </c>
      <c r="F140">
        <v>0</v>
      </c>
      <c r="G140">
        <v>0</v>
      </c>
      <c r="H140" s="1">
        <f t="shared" si="5"/>
        <v>45714</v>
      </c>
      <c r="I140">
        <f t="shared" si="6"/>
        <v>9</v>
      </c>
      <c r="L140" s="9" t="s">
        <v>181</v>
      </c>
      <c r="M140" cm="1">
        <f t="array" ref="M140">SUMPRODUCT((A140:A1138=$L140)*(B140:B1138="sterling silver earrings")*(D140:D1138)*(E140:E1138)) / SUMIFS(E140:E1138, A140:A1138, $L140, B140:B1138, "sterling silver earrings")</f>
        <v>0</v>
      </c>
      <c r="N140" s="7" cm="1">
        <f t="array" ref="N140">SUMPRODUCT((A140:A1138=$L140)*(B140:B1138="silver hoop earrings for women")*(D140:D1138)*(E140:E1138)) / SUMIFS(E140:E1138, A140:A1138, $L140, B140:B1138, "silver hoop earrings for women")</f>
        <v>0</v>
      </c>
      <c r="O140" s="7" t="e" cm="1">
        <f t="array" ref="O140">SUMPRODUCT((A140:A1138=$L140)*(B140:B1138="hoop earrings")*(D140:D1138)*(E140:E1138)) / SUMIFS(E140:E1138, A140:A1138, $L140, B140:B1138, "hoop earrings")</f>
        <v>#DIV/0!</v>
      </c>
      <c r="P140" s="7" t="e" cm="1">
        <f t="array" ref="P140">SUMPRODUCT((A140:A1138=$L140)*(B140:B1138="silver hoops")*(D140:D1138)*(E140:E1138)) / SUMIFS(E140:E1138, A140:A1138, $L140, B140:B1138, "silver hoops")</f>
        <v>#DIV/0!</v>
      </c>
      <c r="Q140" s="7" cm="1">
        <f t="array" ref="Q140">SUMPRODUCT((A140:A1138=$L140)*(B140:B1138="sterling silver hoop earrings")*(D140:D1138)*(E140:E1138)) / SUMIFS(E140:E1138, A140:A1138, $L140, B140:B1138, "sterling silver hoop earrings")</f>
        <v>0</v>
      </c>
      <c r="R140" s="7" t="e" cm="1">
        <f t="array" ref="R140">SUMPRODUCT((A140:A1138=$L140)*(B140:B1138="silver hoop earrings")*(D140:D1138)*(E140:E1138)) / SUMIFS(E140:E1138, A140:A1138, $L140, B140:B1138, "silver hoop earrings")</f>
        <v>#DIV/0!</v>
      </c>
      <c r="S140" s="7" t="e" cm="1">
        <f t="array" ref="S140">SUMPRODUCT((A140:A1138=$L140)*(B140:B1138="925 sterling silver earrings")*(D140:D1138)*(E140:E1138)) / SUMIFS(E140:E1138, A140:A1138, $L140, B140:B1138, "925 sterling silver earrings")</f>
        <v>#DIV/0!</v>
      </c>
      <c r="T140" s="7" t="e" cm="1">
        <f t="array" ref="T140">SUMPRODUCT((A140:A1138=$L140)*(B140:B1138="hoops")*(D140:D1138)*(E140:E1138)) / SUMIFS(E140:E1138, A140:A1138, $L140, B140:B1138, "hoops")</f>
        <v>#DIV/0!</v>
      </c>
      <c r="U140" s="7" t="e" cm="1">
        <f t="array" ref="U140">SUMPRODUCT((A140:A1138=$L140)*(B140:B1138="hoops earrings for women")*(D140:D1138)*(E140:E1138)) / SUMIFS(E140:E1138, A140:A1138, $L140, B140:B1138, "hoops earrings for women")</f>
        <v>#DIV/0!</v>
      </c>
      <c r="V140" s="7" cm="1">
        <f t="array" ref="V140">SUMPRODUCT((A140:A1138=$L140)*(B140:B1138="silver hoops earrings for women")*(D140:D1138)*(E140:E1138)) / SUMIFS(E140:E1138, A140:A1138, $L140, B140:B1138, "silver hoops earrings for women")</f>
        <v>0</v>
      </c>
    </row>
    <row r="141" spans="1:22" x14ac:dyDescent="0.2">
      <c r="A141">
        <v>20250226</v>
      </c>
      <c r="B141" t="s">
        <v>10</v>
      </c>
      <c r="C141" t="s">
        <v>13</v>
      </c>
      <c r="D141">
        <v>2</v>
      </c>
      <c r="E141">
        <v>1</v>
      </c>
      <c r="F141">
        <v>0</v>
      </c>
      <c r="G141">
        <v>0</v>
      </c>
      <c r="H141" s="1">
        <f t="shared" si="5"/>
        <v>45714</v>
      </c>
      <c r="I141">
        <f t="shared" si="6"/>
        <v>9</v>
      </c>
      <c r="L141" s="9" t="s">
        <v>182</v>
      </c>
      <c r="M141" cm="1">
        <f t="array" ref="M141">SUMPRODUCT((A141:A1139=$L141)*(B141:B1139="sterling silver earrings")*(D141:D1139)*(E141:E1139)) / SUMIFS(E141:E1139, A141:A1139, $L141, B141:B1139, "sterling silver earrings")</f>
        <v>0</v>
      </c>
      <c r="N141" s="7" cm="1">
        <f t="array" ref="N141">SUMPRODUCT((A141:A1139=$L141)*(B141:B1139="silver hoop earrings for women")*(D141:D1139)*(E141:E1139)) / SUMIFS(E141:E1139, A141:A1139, $L141, B141:B1139, "silver hoop earrings for women")</f>
        <v>0</v>
      </c>
      <c r="O141" s="7" cm="1">
        <f t="array" ref="O141">SUMPRODUCT((A141:A1139=$L141)*(B141:B1139="hoop earrings")*(D141:D1139)*(E141:E1139)) / SUMIFS(E141:E1139, A141:A1139, $L141, B141:B1139, "hoop earrings")</f>
        <v>0</v>
      </c>
      <c r="P141" s="7" t="e" cm="1">
        <f t="array" ref="P141">SUMPRODUCT((A141:A1139=$L141)*(B141:B1139="silver hoops")*(D141:D1139)*(E141:E1139)) / SUMIFS(E141:E1139, A141:A1139, $L141, B141:B1139, "silver hoops")</f>
        <v>#DIV/0!</v>
      </c>
      <c r="Q141" s="7" cm="1">
        <f t="array" ref="Q141">SUMPRODUCT((A141:A1139=$L141)*(B141:B1139="sterling silver hoop earrings")*(D141:D1139)*(E141:E1139)) / SUMIFS(E141:E1139, A141:A1139, $L141, B141:B1139, "sterling silver hoop earrings")</f>
        <v>0</v>
      </c>
      <c r="R141" s="7" t="e" cm="1">
        <f t="array" ref="R141">SUMPRODUCT((A141:A1139=$L141)*(B141:B1139="silver hoop earrings")*(D141:D1139)*(E141:E1139)) / SUMIFS(E141:E1139, A141:A1139, $L141, B141:B1139, "silver hoop earrings")</f>
        <v>#DIV/0!</v>
      </c>
      <c r="S141" s="7" t="e" cm="1">
        <f t="array" ref="S141">SUMPRODUCT((A141:A1139=$L141)*(B141:B1139="925 sterling silver earrings")*(D141:D1139)*(E141:E1139)) / SUMIFS(E141:E1139, A141:A1139, $L141, B141:B1139, "925 sterling silver earrings")</f>
        <v>#DIV/0!</v>
      </c>
      <c r="T141" s="7" t="e" cm="1">
        <f t="array" ref="T141">SUMPRODUCT((A141:A1139=$L141)*(B141:B1139="hoops")*(D141:D1139)*(E141:E1139)) / SUMIFS(E141:E1139, A141:A1139, $L141, B141:B1139, "hoops")</f>
        <v>#DIV/0!</v>
      </c>
      <c r="U141" s="7" t="e" cm="1">
        <f t="array" ref="U141">SUMPRODUCT((A141:A1139=$L141)*(B141:B1139="hoops earrings for women")*(D141:D1139)*(E141:E1139)) / SUMIFS(E141:E1139, A141:A1139, $L141, B141:B1139, "hoops earrings for women")</f>
        <v>#DIV/0!</v>
      </c>
      <c r="V141" s="7" t="e" cm="1">
        <f t="array" ref="V141">SUMPRODUCT((A141:A1139=$L141)*(B141:B1139="silver hoops earrings for women")*(D141:D1139)*(E141:E1139)) / SUMIFS(E141:E1139, A141:A1139, $L141, B141:B1139, "silver hoops earrings for women")</f>
        <v>#DIV/0!</v>
      </c>
    </row>
    <row r="142" spans="1:22" x14ac:dyDescent="0.2">
      <c r="A142">
        <v>20250227</v>
      </c>
      <c r="B142" t="s">
        <v>7</v>
      </c>
      <c r="C142" t="s">
        <v>8</v>
      </c>
      <c r="D142">
        <v>1</v>
      </c>
      <c r="E142">
        <v>87</v>
      </c>
      <c r="F142">
        <v>0</v>
      </c>
      <c r="G142">
        <v>0</v>
      </c>
      <c r="H142" s="1">
        <f t="shared" si="5"/>
        <v>45715</v>
      </c>
      <c r="I142">
        <f t="shared" si="6"/>
        <v>9</v>
      </c>
      <c r="L142" s="9" t="s">
        <v>183</v>
      </c>
      <c r="M142" cm="1">
        <f t="array" ref="M142">SUMPRODUCT((A142:A1140=$L142)*(B142:B1140="sterling silver earrings")*(D142:D1140)*(E142:E1140)) / SUMIFS(E142:E1140, A142:A1140, $L142, B142:B1140, "sterling silver earrings")</f>
        <v>0</v>
      </c>
      <c r="N142" s="7" cm="1">
        <f t="array" ref="N142">SUMPRODUCT((A142:A1140=$L142)*(B142:B1140="silver hoop earrings for women")*(D142:D1140)*(E142:E1140)) / SUMIFS(E142:E1140, A142:A1140, $L142, B142:B1140, "silver hoop earrings for women")</f>
        <v>0</v>
      </c>
      <c r="O142" s="7" t="e" cm="1">
        <f t="array" ref="O142">SUMPRODUCT((A142:A1140=$L142)*(B142:B1140="hoop earrings")*(D142:D1140)*(E142:E1140)) / SUMIFS(E142:E1140, A142:A1140, $L142, B142:B1140, "hoop earrings")</f>
        <v>#DIV/0!</v>
      </c>
      <c r="P142" s="7" t="e" cm="1">
        <f t="array" ref="P142">SUMPRODUCT((A142:A1140=$L142)*(B142:B1140="silver hoops")*(D142:D1140)*(E142:E1140)) / SUMIFS(E142:E1140, A142:A1140, $L142, B142:B1140, "silver hoops")</f>
        <v>#DIV/0!</v>
      </c>
      <c r="Q142" s="7" t="e" cm="1">
        <f t="array" ref="Q142">SUMPRODUCT((A142:A1140=$L142)*(B142:B1140="sterling silver hoop earrings")*(D142:D1140)*(E142:E1140)) / SUMIFS(E142:E1140, A142:A1140, $L142, B142:B1140, "sterling silver hoop earrings")</f>
        <v>#DIV/0!</v>
      </c>
      <c r="R142" s="7" t="e" cm="1">
        <f t="array" ref="R142">SUMPRODUCT((A142:A1140=$L142)*(B142:B1140="silver hoop earrings")*(D142:D1140)*(E142:E1140)) / SUMIFS(E142:E1140, A142:A1140, $L142, B142:B1140, "silver hoop earrings")</f>
        <v>#DIV/0!</v>
      </c>
      <c r="S142" s="7" t="e" cm="1">
        <f t="array" ref="S142">SUMPRODUCT((A142:A1140=$L142)*(B142:B1140="925 sterling silver earrings")*(D142:D1140)*(E142:E1140)) / SUMIFS(E142:E1140, A142:A1140, $L142, B142:B1140, "925 sterling silver earrings")</f>
        <v>#DIV/0!</v>
      </c>
      <c r="T142" s="7" t="e" cm="1">
        <f t="array" ref="T142">SUMPRODUCT((A142:A1140=$L142)*(B142:B1140="hoops")*(D142:D1140)*(E142:E1140)) / SUMIFS(E142:E1140, A142:A1140, $L142, B142:B1140, "hoops")</f>
        <v>#DIV/0!</v>
      </c>
      <c r="U142" s="7" t="e" cm="1">
        <f t="array" ref="U142">SUMPRODUCT((A142:A1140=$L142)*(B142:B1140="hoops earrings for women")*(D142:D1140)*(E142:E1140)) / SUMIFS(E142:E1140, A142:A1140, $L142, B142:B1140, "hoops earrings for women")</f>
        <v>#DIV/0!</v>
      </c>
      <c r="V142" s="7" t="e" cm="1">
        <f t="array" ref="V142">SUMPRODUCT((A142:A1140=$L142)*(B142:B1140="silver hoops earrings for women")*(D142:D1140)*(E142:E1140)) / SUMIFS(E142:E1140, A142:A1140, $L142, B142:B1140, "silver hoops earrings for women")</f>
        <v>#DIV/0!</v>
      </c>
    </row>
    <row r="143" spans="1:22" x14ac:dyDescent="0.2">
      <c r="A143">
        <v>20250227</v>
      </c>
      <c r="B143" t="s">
        <v>10</v>
      </c>
      <c r="C143" t="s">
        <v>8</v>
      </c>
      <c r="D143">
        <v>1</v>
      </c>
      <c r="E143">
        <v>15</v>
      </c>
      <c r="F143">
        <v>0</v>
      </c>
      <c r="G143">
        <v>0</v>
      </c>
      <c r="H143" s="1">
        <f t="shared" si="5"/>
        <v>45715</v>
      </c>
      <c r="I143">
        <f t="shared" si="6"/>
        <v>9</v>
      </c>
      <c r="L143" s="9" t="s">
        <v>184</v>
      </c>
      <c r="M143" t="e" cm="1">
        <f t="array" ref="M143">SUMPRODUCT((A143:A1141=$L143)*(B143:B1141="sterling silver earrings")*(D143:D1141)*(E143:E1141)) / SUMIFS(E143:E1141, A143:A1141, $L143, B143:B1141, "sterling silver earrings")</f>
        <v>#DIV/0!</v>
      </c>
      <c r="N143" s="7" cm="1">
        <f t="array" ref="N143">SUMPRODUCT((A143:A1141=$L143)*(B143:B1141="silver hoop earrings for women")*(D143:D1141)*(E143:E1141)) / SUMIFS(E143:E1141, A143:A1141, $L143, B143:B1141, "silver hoop earrings for women")</f>
        <v>0</v>
      </c>
      <c r="O143" s="7" cm="1">
        <f t="array" ref="O143">SUMPRODUCT((A143:A1141=$L143)*(B143:B1141="hoop earrings")*(D143:D1141)*(E143:E1141)) / SUMIFS(E143:E1141, A143:A1141, $L143, B143:B1141, "hoop earrings")</f>
        <v>0</v>
      </c>
      <c r="P143" s="7" t="e" cm="1">
        <f t="array" ref="P143">SUMPRODUCT((A143:A1141=$L143)*(B143:B1141="silver hoops")*(D143:D1141)*(E143:E1141)) / SUMIFS(E143:E1141, A143:A1141, $L143, B143:B1141, "silver hoops")</f>
        <v>#DIV/0!</v>
      </c>
      <c r="Q143" s="7" cm="1">
        <f t="array" ref="Q143">SUMPRODUCT((A143:A1141=$L143)*(B143:B1141="sterling silver hoop earrings")*(D143:D1141)*(E143:E1141)) / SUMIFS(E143:E1141, A143:A1141, $L143, B143:B1141, "sterling silver hoop earrings")</f>
        <v>0</v>
      </c>
      <c r="R143" s="7" t="e" cm="1">
        <f t="array" ref="R143">SUMPRODUCT((A143:A1141=$L143)*(B143:B1141="silver hoop earrings")*(D143:D1141)*(E143:E1141)) / SUMIFS(E143:E1141, A143:A1141, $L143, B143:B1141, "silver hoop earrings")</f>
        <v>#DIV/0!</v>
      </c>
      <c r="S143" s="7" t="e" cm="1">
        <f t="array" ref="S143">SUMPRODUCT((A143:A1141=$L143)*(B143:B1141="925 sterling silver earrings")*(D143:D1141)*(E143:E1141)) / SUMIFS(E143:E1141, A143:A1141, $L143, B143:B1141, "925 sterling silver earrings")</f>
        <v>#DIV/0!</v>
      </c>
      <c r="T143" s="7" t="e" cm="1">
        <f t="array" ref="T143">SUMPRODUCT((A143:A1141=$L143)*(B143:B1141="hoops")*(D143:D1141)*(E143:E1141)) / SUMIFS(E143:E1141, A143:A1141, $L143, B143:B1141, "hoops")</f>
        <v>#DIV/0!</v>
      </c>
      <c r="U143" s="7" cm="1">
        <f t="array" ref="U143">SUMPRODUCT((A143:A1141=$L143)*(B143:B1141="hoops earrings for women")*(D143:D1141)*(E143:E1141)) / SUMIFS(E143:E1141, A143:A1141, $L143, B143:B1141, "hoops earrings for women")</f>
        <v>0</v>
      </c>
      <c r="V143" s="7" t="e" cm="1">
        <f t="array" ref="V143">SUMPRODUCT((A143:A1141=$L143)*(B143:B1141="silver hoops earrings for women")*(D143:D1141)*(E143:E1141)) / SUMIFS(E143:E1141, A143:A1141, $L143, B143:B1141, "silver hoops earrings for women")</f>
        <v>#DIV/0!</v>
      </c>
    </row>
    <row r="144" spans="1:22" x14ac:dyDescent="0.2">
      <c r="A144">
        <v>20250228</v>
      </c>
      <c r="B144" t="s">
        <v>19</v>
      </c>
      <c r="C144" t="s">
        <v>8</v>
      </c>
      <c r="D144">
        <v>2</v>
      </c>
      <c r="E144">
        <v>23</v>
      </c>
      <c r="F144">
        <v>0</v>
      </c>
      <c r="G144">
        <v>0</v>
      </c>
      <c r="H144" s="1">
        <f t="shared" si="5"/>
        <v>45716</v>
      </c>
      <c r="I144">
        <f t="shared" si="6"/>
        <v>9</v>
      </c>
      <c r="L144" s="9" t="s">
        <v>185</v>
      </c>
      <c r="M144" cm="1">
        <f t="array" ref="M144">SUMPRODUCT((A144:A1142=$L144)*(B144:B1142="sterling silver earrings")*(D144:D1142)*(E144:E1142)) / SUMIFS(E144:E1142, A144:A1142, $L144, B144:B1142, "sterling silver earrings")</f>
        <v>0</v>
      </c>
      <c r="N144" s="7" cm="1">
        <f t="array" ref="N144">SUMPRODUCT((A144:A1142=$L144)*(B144:B1142="silver hoop earrings for women")*(D144:D1142)*(E144:E1142)) / SUMIFS(E144:E1142, A144:A1142, $L144, B144:B1142, "silver hoop earrings for women")</f>
        <v>0</v>
      </c>
      <c r="O144" s="7" t="e" cm="1">
        <f t="array" ref="O144">SUMPRODUCT((A144:A1142=$L144)*(B144:B1142="hoop earrings")*(D144:D1142)*(E144:E1142)) / SUMIFS(E144:E1142, A144:A1142, $L144, B144:B1142, "hoop earrings")</f>
        <v>#DIV/0!</v>
      </c>
      <c r="P144" s="7" t="e" cm="1">
        <f t="array" ref="P144">SUMPRODUCT((A144:A1142=$L144)*(B144:B1142="silver hoops")*(D144:D1142)*(E144:E1142)) / SUMIFS(E144:E1142, A144:A1142, $L144, B144:B1142, "silver hoops")</f>
        <v>#DIV/0!</v>
      </c>
      <c r="Q144" s="7" cm="1">
        <f t="array" ref="Q144">SUMPRODUCT((A144:A1142=$L144)*(B144:B1142="sterling silver hoop earrings")*(D144:D1142)*(E144:E1142)) / SUMIFS(E144:E1142, A144:A1142, $L144, B144:B1142, "sterling silver hoop earrings")</f>
        <v>0</v>
      </c>
      <c r="R144" s="7" cm="1">
        <f t="array" ref="R144">SUMPRODUCT((A144:A1142=$L144)*(B144:B1142="silver hoop earrings")*(D144:D1142)*(E144:E1142)) / SUMIFS(E144:E1142, A144:A1142, $L144, B144:B1142, "silver hoop earrings")</f>
        <v>0</v>
      </c>
      <c r="S144" s="7" t="e" cm="1">
        <f t="array" ref="S144">SUMPRODUCT((A144:A1142=$L144)*(B144:B1142="925 sterling silver earrings")*(D144:D1142)*(E144:E1142)) / SUMIFS(E144:E1142, A144:A1142, $L144, B144:B1142, "925 sterling silver earrings")</f>
        <v>#DIV/0!</v>
      </c>
      <c r="T144" s="7" t="e" cm="1">
        <f t="array" ref="T144">SUMPRODUCT((A144:A1142=$L144)*(B144:B1142="hoops")*(D144:D1142)*(E144:E1142)) / SUMIFS(E144:E1142, A144:A1142, $L144, B144:B1142, "hoops")</f>
        <v>#DIV/0!</v>
      </c>
      <c r="U144" s="7" t="e" cm="1">
        <f t="array" ref="U144">SUMPRODUCT((A144:A1142=$L144)*(B144:B1142="hoops earrings for women")*(D144:D1142)*(E144:E1142)) / SUMIFS(E144:E1142, A144:A1142, $L144, B144:B1142, "hoops earrings for women")</f>
        <v>#DIV/0!</v>
      </c>
      <c r="V144" s="7" cm="1">
        <f t="array" ref="V144">SUMPRODUCT((A144:A1142=$L144)*(B144:B1142="silver hoops earrings for women")*(D144:D1142)*(E144:E1142)) / SUMIFS(E144:E1142, A144:A1142, $L144, B144:B1142, "silver hoops earrings for women")</f>
        <v>0</v>
      </c>
    </row>
    <row r="145" spans="1:22" x14ac:dyDescent="0.2">
      <c r="A145">
        <v>20250228</v>
      </c>
      <c r="B145" t="s">
        <v>23</v>
      </c>
      <c r="C145" t="s">
        <v>8</v>
      </c>
      <c r="D145">
        <v>1</v>
      </c>
      <c r="E145">
        <v>21</v>
      </c>
      <c r="F145">
        <v>0</v>
      </c>
      <c r="G145">
        <v>0</v>
      </c>
      <c r="H145" s="1">
        <f t="shared" si="5"/>
        <v>45716</v>
      </c>
      <c r="I145">
        <f t="shared" si="6"/>
        <v>9</v>
      </c>
      <c r="L145" s="9" t="s">
        <v>186</v>
      </c>
      <c r="M145" cm="1">
        <f t="array" ref="M145">SUMPRODUCT((A145:A1143=$L145)*(B145:B1143="sterling silver earrings")*(D145:D1143)*(E145:E1143)) / SUMIFS(E145:E1143, A145:A1143, $L145, B145:B1143, "sterling silver earrings")</f>
        <v>0</v>
      </c>
      <c r="N145" s="7" cm="1">
        <f t="array" ref="N145">SUMPRODUCT((A145:A1143=$L145)*(B145:B1143="silver hoop earrings for women")*(D145:D1143)*(E145:E1143)) / SUMIFS(E145:E1143, A145:A1143, $L145, B145:B1143, "silver hoop earrings for women")</f>
        <v>0</v>
      </c>
      <c r="O145" s="7" t="e" cm="1">
        <f t="array" ref="O145">SUMPRODUCT((A145:A1143=$L145)*(B145:B1143="hoop earrings")*(D145:D1143)*(E145:E1143)) / SUMIFS(E145:E1143, A145:A1143, $L145, B145:B1143, "hoop earrings")</f>
        <v>#DIV/0!</v>
      </c>
      <c r="P145" s="7" t="e" cm="1">
        <f t="array" ref="P145">SUMPRODUCT((A145:A1143=$L145)*(B145:B1143="silver hoops")*(D145:D1143)*(E145:E1143)) / SUMIFS(E145:E1143, A145:A1143, $L145, B145:B1143, "silver hoops")</f>
        <v>#DIV/0!</v>
      </c>
      <c r="Q145" s="7" cm="1">
        <f t="array" ref="Q145">SUMPRODUCT((A145:A1143=$L145)*(B145:B1143="sterling silver hoop earrings")*(D145:D1143)*(E145:E1143)) / SUMIFS(E145:E1143, A145:A1143, $L145, B145:B1143, "sterling silver hoop earrings")</f>
        <v>0</v>
      </c>
      <c r="R145" s="7" t="e" cm="1">
        <f t="array" ref="R145">SUMPRODUCT((A145:A1143=$L145)*(B145:B1143="silver hoop earrings")*(D145:D1143)*(E145:E1143)) / SUMIFS(E145:E1143, A145:A1143, $L145, B145:B1143, "silver hoop earrings")</f>
        <v>#DIV/0!</v>
      </c>
      <c r="S145" s="7" t="e" cm="1">
        <f t="array" ref="S145">SUMPRODUCT((A145:A1143=$L145)*(B145:B1143="925 sterling silver earrings")*(D145:D1143)*(E145:E1143)) / SUMIFS(E145:E1143, A145:A1143, $L145, B145:B1143, "925 sterling silver earrings")</f>
        <v>#DIV/0!</v>
      </c>
      <c r="T145" s="7" t="e" cm="1">
        <f t="array" ref="T145">SUMPRODUCT((A145:A1143=$L145)*(B145:B1143="hoops")*(D145:D1143)*(E145:E1143)) / SUMIFS(E145:E1143, A145:A1143, $L145, B145:B1143, "hoops")</f>
        <v>#DIV/0!</v>
      </c>
      <c r="U145" s="7" cm="1">
        <f t="array" ref="U145">SUMPRODUCT((A145:A1143=$L145)*(B145:B1143="hoops earrings for women")*(D145:D1143)*(E145:E1143)) / SUMIFS(E145:E1143, A145:A1143, $L145, B145:B1143, "hoops earrings for women")</f>
        <v>0</v>
      </c>
      <c r="V145" s="7" t="e" cm="1">
        <f t="array" ref="V145">SUMPRODUCT((A145:A1143=$L145)*(B145:B1143="silver hoops earrings for women")*(D145:D1143)*(E145:E1143)) / SUMIFS(E145:E1143, A145:A1143, $L145, B145:B1143, "silver hoops earrings for women")</f>
        <v>#DIV/0!</v>
      </c>
    </row>
    <row r="146" spans="1:22" x14ac:dyDescent="0.2">
      <c r="A146">
        <v>20250228</v>
      </c>
      <c r="B146" t="s">
        <v>10</v>
      </c>
      <c r="C146" t="s">
        <v>28</v>
      </c>
      <c r="D146">
        <v>3</v>
      </c>
      <c r="E146">
        <v>66.6666666666666</v>
      </c>
      <c r="F146">
        <v>0</v>
      </c>
      <c r="G146">
        <v>0</v>
      </c>
      <c r="H146" s="1">
        <f t="shared" si="5"/>
        <v>45716</v>
      </c>
      <c r="I146">
        <f t="shared" si="6"/>
        <v>9</v>
      </c>
      <c r="L146" s="9" t="s">
        <v>187</v>
      </c>
      <c r="M146" cm="1">
        <f t="array" ref="M146">SUMPRODUCT((A146:A1144=$L146)*(B146:B1144="sterling silver earrings")*(D146:D1144)*(E146:E1144)) / SUMIFS(E146:E1144, A146:A1144, $L146, B146:B1144, "sterling silver earrings")</f>
        <v>0</v>
      </c>
      <c r="N146" s="7" cm="1">
        <f t="array" ref="N146">SUMPRODUCT((A146:A1144=$L146)*(B146:B1144="silver hoop earrings for women")*(D146:D1144)*(E146:E1144)) / SUMIFS(E146:E1144, A146:A1144, $L146, B146:B1144, "silver hoop earrings for women")</f>
        <v>0</v>
      </c>
      <c r="O146" s="7" cm="1">
        <f t="array" ref="O146">SUMPRODUCT((A146:A1144=$L146)*(B146:B1144="hoop earrings")*(D146:D1144)*(E146:E1144)) / SUMIFS(E146:E1144, A146:A1144, $L146, B146:B1144, "hoop earrings")</f>
        <v>0</v>
      </c>
      <c r="P146" s="7" t="e" cm="1">
        <f t="array" ref="P146">SUMPRODUCT((A146:A1144=$L146)*(B146:B1144="silver hoops")*(D146:D1144)*(E146:E1144)) / SUMIFS(E146:E1144, A146:A1144, $L146, B146:B1144, "silver hoops")</f>
        <v>#DIV/0!</v>
      </c>
      <c r="Q146" s="7" cm="1">
        <f t="array" ref="Q146">SUMPRODUCT((A146:A1144=$L146)*(B146:B1144="sterling silver hoop earrings")*(D146:D1144)*(E146:E1144)) / SUMIFS(E146:E1144, A146:A1144, $L146, B146:B1144, "sterling silver hoop earrings")</f>
        <v>0</v>
      </c>
      <c r="R146" s="7" t="e" cm="1">
        <f t="array" ref="R146">SUMPRODUCT((A146:A1144=$L146)*(B146:B1144="silver hoop earrings")*(D146:D1144)*(E146:E1144)) / SUMIFS(E146:E1144, A146:A1144, $L146, B146:B1144, "silver hoop earrings")</f>
        <v>#DIV/0!</v>
      </c>
      <c r="S146" s="7" t="e" cm="1">
        <f t="array" ref="S146">SUMPRODUCT((A146:A1144=$L146)*(B146:B1144="925 sterling silver earrings")*(D146:D1144)*(E146:E1144)) / SUMIFS(E146:E1144, A146:A1144, $L146, B146:B1144, "925 sterling silver earrings")</f>
        <v>#DIV/0!</v>
      </c>
      <c r="T146" s="7" t="e" cm="1">
        <f t="array" ref="T146">SUMPRODUCT((A146:A1144=$L146)*(B146:B1144="hoops")*(D146:D1144)*(E146:E1144)) / SUMIFS(E146:E1144, A146:A1144, $L146, B146:B1144, "hoops")</f>
        <v>#DIV/0!</v>
      </c>
      <c r="U146" s="7" t="e" cm="1">
        <f t="array" ref="U146">SUMPRODUCT((A146:A1144=$L146)*(B146:B1144="hoops earrings for women")*(D146:D1144)*(E146:E1144)) / SUMIFS(E146:E1144, A146:A1144, $L146, B146:B1144, "hoops earrings for women")</f>
        <v>#DIV/0!</v>
      </c>
      <c r="V146" s="7" t="e" cm="1">
        <f t="array" ref="V146">SUMPRODUCT((A146:A1144=$L146)*(B146:B1144="silver hoops earrings for women")*(D146:D1144)*(E146:E1144)) / SUMIFS(E146:E1144, A146:A1144, $L146, B146:B1144, "silver hoops earrings for women")</f>
        <v>#DIV/0!</v>
      </c>
    </row>
    <row r="147" spans="1:22" x14ac:dyDescent="0.2">
      <c r="A147">
        <v>20250228</v>
      </c>
      <c r="B147" t="s">
        <v>10</v>
      </c>
      <c r="C147" t="s">
        <v>8</v>
      </c>
      <c r="D147">
        <v>1</v>
      </c>
      <c r="E147">
        <v>22</v>
      </c>
      <c r="F147">
        <v>0</v>
      </c>
      <c r="G147">
        <v>0</v>
      </c>
      <c r="H147" s="1">
        <f t="shared" si="5"/>
        <v>45716</v>
      </c>
      <c r="I147">
        <f t="shared" si="6"/>
        <v>9</v>
      </c>
      <c r="L147" s="9" t="s">
        <v>188</v>
      </c>
      <c r="M147" cm="1">
        <f t="array" ref="M147">SUMPRODUCT((A147:A1145=$L147)*(B147:B1145="sterling silver earrings")*(D147:D1145)*(E147:E1145)) / SUMIFS(E147:E1145, A147:A1145, $L147, B147:B1145, "sterling silver earrings")</f>
        <v>0</v>
      </c>
      <c r="N147" s="7" cm="1">
        <f t="array" ref="N147">SUMPRODUCT((A147:A1145=$L147)*(B147:B1145="silver hoop earrings for women")*(D147:D1145)*(E147:E1145)) / SUMIFS(E147:E1145, A147:A1145, $L147, B147:B1145, "silver hoop earrings for women")</f>
        <v>0</v>
      </c>
      <c r="O147" s="7" t="e" cm="1">
        <f t="array" ref="O147">SUMPRODUCT((A147:A1145=$L147)*(B147:B1145="hoop earrings")*(D147:D1145)*(E147:E1145)) / SUMIFS(E147:E1145, A147:A1145, $L147, B147:B1145, "hoop earrings")</f>
        <v>#DIV/0!</v>
      </c>
      <c r="P147" s="7" t="e" cm="1">
        <f t="array" ref="P147">SUMPRODUCT((A147:A1145=$L147)*(B147:B1145="silver hoops")*(D147:D1145)*(E147:E1145)) / SUMIFS(E147:E1145, A147:A1145, $L147, B147:B1145, "silver hoops")</f>
        <v>#DIV/0!</v>
      </c>
      <c r="Q147" s="7" cm="1">
        <f t="array" ref="Q147">SUMPRODUCT((A147:A1145=$L147)*(B147:B1145="sterling silver hoop earrings")*(D147:D1145)*(E147:E1145)) / SUMIFS(E147:E1145, A147:A1145, $L147, B147:B1145, "sterling silver hoop earrings")</f>
        <v>0</v>
      </c>
      <c r="R147" s="7" cm="1">
        <f t="array" ref="R147">SUMPRODUCT((A147:A1145=$L147)*(B147:B1145="silver hoop earrings")*(D147:D1145)*(E147:E1145)) / SUMIFS(E147:E1145, A147:A1145, $L147, B147:B1145, "silver hoop earrings")</f>
        <v>0</v>
      </c>
      <c r="S147" s="7" t="e" cm="1">
        <f t="array" ref="S147">SUMPRODUCT((A147:A1145=$L147)*(B147:B1145="925 sterling silver earrings")*(D147:D1145)*(E147:E1145)) / SUMIFS(E147:E1145, A147:A1145, $L147, B147:B1145, "925 sterling silver earrings")</f>
        <v>#DIV/0!</v>
      </c>
      <c r="T147" s="7" t="e" cm="1">
        <f t="array" ref="T147">SUMPRODUCT((A147:A1145=$L147)*(B147:B1145="hoops")*(D147:D1145)*(E147:E1145)) / SUMIFS(E147:E1145, A147:A1145, $L147, B147:B1145, "hoops")</f>
        <v>#DIV/0!</v>
      </c>
      <c r="U147" s="7" t="e" cm="1">
        <f t="array" ref="U147">SUMPRODUCT((A147:A1145=$L147)*(B147:B1145="hoops earrings for women")*(D147:D1145)*(E147:E1145)) / SUMIFS(E147:E1145, A147:A1145, $L147, B147:B1145, "hoops earrings for women")</f>
        <v>#DIV/0!</v>
      </c>
      <c r="V147" s="7" t="e" cm="1">
        <f t="array" ref="V147">SUMPRODUCT((A147:A1145=$L147)*(B147:B1145="silver hoops earrings for women")*(D147:D1145)*(E147:E1145)) / SUMIFS(E147:E1145, A147:A1145, $L147, B147:B1145, "silver hoops earrings for women")</f>
        <v>#DIV/0!</v>
      </c>
    </row>
    <row r="148" spans="1:22" x14ac:dyDescent="0.2">
      <c r="A148">
        <v>20250301</v>
      </c>
      <c r="B148" t="s">
        <v>7</v>
      </c>
      <c r="C148" t="s">
        <v>8</v>
      </c>
      <c r="D148">
        <v>2</v>
      </c>
      <c r="E148">
        <v>25</v>
      </c>
      <c r="F148">
        <v>0</v>
      </c>
      <c r="G148">
        <v>0</v>
      </c>
      <c r="H148" s="1">
        <f t="shared" si="5"/>
        <v>45717</v>
      </c>
      <c r="I148">
        <f t="shared" si="6"/>
        <v>9</v>
      </c>
      <c r="L148" s="9" t="s">
        <v>189</v>
      </c>
      <c r="M148" cm="1">
        <f t="array" ref="M148">SUMPRODUCT((A148:A1146=$L148)*(B148:B1146="sterling silver earrings")*(D148:D1146)*(E148:E1146)) / SUMIFS(E148:E1146, A148:A1146, $L148, B148:B1146, "sterling silver earrings")</f>
        <v>0</v>
      </c>
      <c r="N148" s="7" cm="1">
        <f t="array" ref="N148">SUMPRODUCT((A148:A1146=$L148)*(B148:B1146="silver hoop earrings for women")*(D148:D1146)*(E148:E1146)) / SUMIFS(E148:E1146, A148:A1146, $L148, B148:B1146, "silver hoop earrings for women")</f>
        <v>0</v>
      </c>
      <c r="O148" s="7" cm="1">
        <f t="array" ref="O148">SUMPRODUCT((A148:A1146=$L148)*(B148:B1146="hoop earrings")*(D148:D1146)*(E148:E1146)) / SUMIFS(E148:E1146, A148:A1146, $L148, B148:B1146, "hoop earrings")</f>
        <v>0</v>
      </c>
      <c r="P148" s="7" t="e" cm="1">
        <f t="array" ref="P148">SUMPRODUCT((A148:A1146=$L148)*(B148:B1146="silver hoops")*(D148:D1146)*(E148:E1146)) / SUMIFS(E148:E1146, A148:A1146, $L148, B148:B1146, "silver hoops")</f>
        <v>#DIV/0!</v>
      </c>
      <c r="Q148" s="7" cm="1">
        <f t="array" ref="Q148">SUMPRODUCT((A148:A1146=$L148)*(B148:B1146="sterling silver hoop earrings")*(D148:D1146)*(E148:E1146)) / SUMIFS(E148:E1146, A148:A1146, $L148, B148:B1146, "sterling silver hoop earrings")</f>
        <v>0</v>
      </c>
      <c r="R148" s="7" t="e" cm="1">
        <f t="array" ref="R148">SUMPRODUCT((A148:A1146=$L148)*(B148:B1146="silver hoop earrings")*(D148:D1146)*(E148:E1146)) / SUMIFS(E148:E1146, A148:A1146, $L148, B148:B1146, "silver hoop earrings")</f>
        <v>#DIV/0!</v>
      </c>
      <c r="S148" s="7" t="e" cm="1">
        <f t="array" ref="S148">SUMPRODUCT((A148:A1146=$L148)*(B148:B1146="925 sterling silver earrings")*(D148:D1146)*(E148:E1146)) / SUMIFS(E148:E1146, A148:A1146, $L148, B148:B1146, "925 sterling silver earrings")</f>
        <v>#DIV/0!</v>
      </c>
      <c r="T148" s="7" t="e" cm="1">
        <f t="array" ref="T148">SUMPRODUCT((A148:A1146=$L148)*(B148:B1146="hoops")*(D148:D1146)*(E148:E1146)) / SUMIFS(E148:E1146, A148:A1146, $L148, B148:B1146, "hoops")</f>
        <v>#DIV/0!</v>
      </c>
      <c r="U148" s="7" t="e" cm="1">
        <f t="array" ref="U148">SUMPRODUCT((A148:A1146=$L148)*(B148:B1146="hoops earrings for women")*(D148:D1146)*(E148:E1146)) / SUMIFS(E148:E1146, A148:A1146, $L148, B148:B1146, "hoops earrings for women")</f>
        <v>#DIV/0!</v>
      </c>
      <c r="V148" s="7" cm="1">
        <f t="array" ref="V148">SUMPRODUCT((A148:A1146=$L148)*(B148:B1146="silver hoops earrings for women")*(D148:D1146)*(E148:E1146)) / SUMIFS(E148:E1146, A148:A1146, $L148, B148:B1146, "silver hoops earrings for women")</f>
        <v>0</v>
      </c>
    </row>
    <row r="149" spans="1:22" x14ac:dyDescent="0.2">
      <c r="A149">
        <v>20250301</v>
      </c>
      <c r="B149" t="s">
        <v>23</v>
      </c>
      <c r="C149" t="s">
        <v>8</v>
      </c>
      <c r="D149">
        <v>1</v>
      </c>
      <c r="E149">
        <v>23</v>
      </c>
      <c r="F149">
        <v>0</v>
      </c>
      <c r="G149">
        <v>0</v>
      </c>
      <c r="H149" s="1">
        <f t="shared" si="5"/>
        <v>45717</v>
      </c>
      <c r="I149">
        <f t="shared" si="6"/>
        <v>9</v>
      </c>
      <c r="L149" s="9" t="s">
        <v>190</v>
      </c>
      <c r="M149" cm="1">
        <f t="array" ref="M149">SUMPRODUCT((A149:A1147=$L149)*(B149:B1147="sterling silver earrings")*(D149:D1147)*(E149:E1147)) / SUMIFS(E149:E1147, A149:A1147, $L149, B149:B1147, "sterling silver earrings")</f>
        <v>0</v>
      </c>
      <c r="N149" s="7" cm="1">
        <f t="array" ref="N149">SUMPRODUCT((A149:A1147=$L149)*(B149:B1147="silver hoop earrings for women")*(D149:D1147)*(E149:E1147)) / SUMIFS(E149:E1147, A149:A1147, $L149, B149:B1147, "silver hoop earrings for women")</f>
        <v>0</v>
      </c>
      <c r="O149" s="7" cm="1">
        <f t="array" ref="O149">SUMPRODUCT((A149:A1147=$L149)*(B149:B1147="hoop earrings")*(D149:D1147)*(E149:E1147)) / SUMIFS(E149:E1147, A149:A1147, $L149, B149:B1147, "hoop earrings")</f>
        <v>0</v>
      </c>
      <c r="P149" s="7" cm="1">
        <f t="array" ref="P149">SUMPRODUCT((A149:A1147=$L149)*(B149:B1147="silver hoops")*(D149:D1147)*(E149:E1147)) / SUMIFS(E149:E1147, A149:A1147, $L149, B149:B1147, "silver hoops")</f>
        <v>0</v>
      </c>
      <c r="Q149" s="7" cm="1">
        <f t="array" ref="Q149">SUMPRODUCT((A149:A1147=$L149)*(B149:B1147="sterling silver hoop earrings")*(D149:D1147)*(E149:E1147)) / SUMIFS(E149:E1147, A149:A1147, $L149, B149:B1147, "sterling silver hoop earrings")</f>
        <v>0</v>
      </c>
      <c r="R149" s="7" cm="1">
        <f t="array" ref="R149">SUMPRODUCT((A149:A1147=$L149)*(B149:B1147="silver hoop earrings")*(D149:D1147)*(E149:E1147)) / SUMIFS(E149:E1147, A149:A1147, $L149, B149:B1147, "silver hoop earrings")</f>
        <v>0</v>
      </c>
      <c r="S149" s="7" t="e" cm="1">
        <f t="array" ref="S149">SUMPRODUCT((A149:A1147=$L149)*(B149:B1147="925 sterling silver earrings")*(D149:D1147)*(E149:E1147)) / SUMIFS(E149:E1147, A149:A1147, $L149, B149:B1147, "925 sterling silver earrings")</f>
        <v>#DIV/0!</v>
      </c>
      <c r="T149" s="7" t="e" cm="1">
        <f t="array" ref="T149">SUMPRODUCT((A149:A1147=$L149)*(B149:B1147="hoops")*(D149:D1147)*(E149:E1147)) / SUMIFS(E149:E1147, A149:A1147, $L149, B149:B1147, "hoops")</f>
        <v>#DIV/0!</v>
      </c>
      <c r="U149" s="7" t="e" cm="1">
        <f t="array" ref="U149">SUMPRODUCT((A149:A1147=$L149)*(B149:B1147="hoops earrings for women")*(D149:D1147)*(E149:E1147)) / SUMIFS(E149:E1147, A149:A1147, $L149, B149:B1147, "hoops earrings for women")</f>
        <v>#DIV/0!</v>
      </c>
      <c r="V149" s="7" t="e" cm="1">
        <f t="array" ref="V149">SUMPRODUCT((A149:A1147=$L149)*(B149:B1147="silver hoops earrings for women")*(D149:D1147)*(E149:E1147)) / SUMIFS(E149:E1147, A149:A1147, $L149, B149:B1147, "silver hoops earrings for women")</f>
        <v>#DIV/0!</v>
      </c>
    </row>
    <row r="150" spans="1:22" x14ac:dyDescent="0.2">
      <c r="A150">
        <v>20250301</v>
      </c>
      <c r="B150" t="s">
        <v>14</v>
      </c>
      <c r="C150" t="s">
        <v>8</v>
      </c>
      <c r="D150">
        <v>1</v>
      </c>
      <c r="E150">
        <v>2</v>
      </c>
      <c r="F150">
        <v>0</v>
      </c>
      <c r="G150">
        <v>2</v>
      </c>
      <c r="H150" s="1">
        <f t="shared" si="5"/>
        <v>45717</v>
      </c>
      <c r="I150">
        <f t="shared" si="6"/>
        <v>9</v>
      </c>
      <c r="L150" s="9" t="s">
        <v>191</v>
      </c>
      <c r="M150" cm="1">
        <f t="array" ref="M150">SUMPRODUCT((A150:A1148=$L150)*(B150:B1148="sterling silver earrings")*(D150:D1148)*(E150:E1148)) / SUMIFS(E150:E1148, A150:A1148, $L150, B150:B1148, "sterling silver earrings")</f>
        <v>0</v>
      </c>
      <c r="N150" s="7" cm="1">
        <f t="array" ref="N150">SUMPRODUCT((A150:A1148=$L150)*(B150:B1148="silver hoop earrings for women")*(D150:D1148)*(E150:E1148)) / SUMIFS(E150:E1148, A150:A1148, $L150, B150:B1148, "silver hoop earrings for women")</f>
        <v>0</v>
      </c>
      <c r="O150" s="7" t="e" cm="1">
        <f t="array" ref="O150">SUMPRODUCT((A150:A1148=$L150)*(B150:B1148="hoop earrings")*(D150:D1148)*(E150:E1148)) / SUMIFS(E150:E1148, A150:A1148, $L150, B150:B1148, "hoop earrings")</f>
        <v>#DIV/0!</v>
      </c>
      <c r="P150" s="7" t="e" cm="1">
        <f t="array" ref="P150">SUMPRODUCT((A150:A1148=$L150)*(B150:B1148="silver hoops")*(D150:D1148)*(E150:E1148)) / SUMIFS(E150:E1148, A150:A1148, $L150, B150:B1148, "silver hoops")</f>
        <v>#DIV/0!</v>
      </c>
      <c r="Q150" s="7" cm="1">
        <f t="array" ref="Q150">SUMPRODUCT((A150:A1148=$L150)*(B150:B1148="sterling silver hoop earrings")*(D150:D1148)*(E150:E1148)) / SUMIFS(E150:E1148, A150:A1148, $L150, B150:B1148, "sterling silver hoop earrings")</f>
        <v>0</v>
      </c>
      <c r="R150" s="7" t="e" cm="1">
        <f t="array" ref="R150">SUMPRODUCT((A150:A1148=$L150)*(B150:B1148="silver hoop earrings")*(D150:D1148)*(E150:E1148)) / SUMIFS(E150:E1148, A150:A1148, $L150, B150:B1148, "silver hoop earrings")</f>
        <v>#DIV/0!</v>
      </c>
      <c r="S150" s="7" t="e" cm="1">
        <f t="array" ref="S150">SUMPRODUCT((A150:A1148=$L150)*(B150:B1148="925 sterling silver earrings")*(D150:D1148)*(E150:E1148)) / SUMIFS(E150:E1148, A150:A1148, $L150, B150:B1148, "925 sterling silver earrings")</f>
        <v>#DIV/0!</v>
      </c>
      <c r="T150" s="7" t="e" cm="1">
        <f t="array" ref="T150">SUMPRODUCT((A150:A1148=$L150)*(B150:B1148="hoops")*(D150:D1148)*(E150:E1148)) / SUMIFS(E150:E1148, A150:A1148, $L150, B150:B1148, "hoops")</f>
        <v>#DIV/0!</v>
      </c>
      <c r="U150" s="7" t="e" cm="1">
        <f t="array" ref="U150">SUMPRODUCT((A150:A1148=$L150)*(B150:B1148="hoops earrings for women")*(D150:D1148)*(E150:E1148)) / SUMIFS(E150:E1148, A150:A1148, $L150, B150:B1148, "hoops earrings for women")</f>
        <v>#DIV/0!</v>
      </c>
      <c r="V150" s="7" t="e" cm="1">
        <f t="array" ref="V150">SUMPRODUCT((A150:A1148=$L150)*(B150:B1148="silver hoops earrings for women")*(D150:D1148)*(E150:E1148)) / SUMIFS(E150:E1148, A150:A1148, $L150, B150:B1148, "silver hoops earrings for women")</f>
        <v>#DIV/0!</v>
      </c>
    </row>
    <row r="151" spans="1:22" x14ac:dyDescent="0.2">
      <c r="A151">
        <v>20250301</v>
      </c>
      <c r="B151" t="s">
        <v>9</v>
      </c>
      <c r="C151" t="s">
        <v>8</v>
      </c>
      <c r="D151">
        <v>1</v>
      </c>
      <c r="E151">
        <v>2</v>
      </c>
      <c r="F151">
        <v>0</v>
      </c>
      <c r="G151">
        <v>0</v>
      </c>
      <c r="H151" s="1">
        <f t="shared" si="5"/>
        <v>45717</v>
      </c>
      <c r="I151">
        <f t="shared" si="6"/>
        <v>9</v>
      </c>
      <c r="L151" s="9" t="s">
        <v>192</v>
      </c>
      <c r="M151" cm="1">
        <f t="array" ref="M151">SUMPRODUCT((A151:A1149=$L151)*(B151:B1149="sterling silver earrings")*(D151:D1149)*(E151:E1149)) / SUMIFS(E151:E1149, A151:A1149, $L151, B151:B1149, "sterling silver earrings")</f>
        <v>0</v>
      </c>
      <c r="N151" s="7" cm="1">
        <f t="array" ref="N151">SUMPRODUCT((A151:A1149=$L151)*(B151:B1149="silver hoop earrings for women")*(D151:D1149)*(E151:E1149)) / SUMIFS(E151:E1149, A151:A1149, $L151, B151:B1149, "silver hoop earrings for women")</f>
        <v>0</v>
      </c>
      <c r="O151" s="7" t="e" cm="1">
        <f t="array" ref="O151">SUMPRODUCT((A151:A1149=$L151)*(B151:B1149="hoop earrings")*(D151:D1149)*(E151:E1149)) / SUMIFS(E151:E1149, A151:A1149, $L151, B151:B1149, "hoop earrings")</f>
        <v>#DIV/0!</v>
      </c>
      <c r="P151" s="7" t="e" cm="1">
        <f t="array" ref="P151">SUMPRODUCT((A151:A1149=$L151)*(B151:B1149="silver hoops")*(D151:D1149)*(E151:E1149)) / SUMIFS(E151:E1149, A151:A1149, $L151, B151:B1149, "silver hoops")</f>
        <v>#DIV/0!</v>
      </c>
      <c r="Q151" s="7" cm="1">
        <f t="array" ref="Q151">SUMPRODUCT((A151:A1149=$L151)*(B151:B1149="sterling silver hoop earrings")*(D151:D1149)*(E151:E1149)) / SUMIFS(E151:E1149, A151:A1149, $L151, B151:B1149, "sterling silver hoop earrings")</f>
        <v>0</v>
      </c>
      <c r="R151" s="7" t="e" cm="1">
        <f t="array" ref="R151">SUMPRODUCT((A151:A1149=$L151)*(B151:B1149="silver hoop earrings")*(D151:D1149)*(E151:E1149)) / SUMIFS(E151:E1149, A151:A1149, $L151, B151:B1149, "silver hoop earrings")</f>
        <v>#DIV/0!</v>
      </c>
      <c r="S151" s="7" t="e" cm="1">
        <f t="array" ref="S151">SUMPRODUCT((A151:A1149=$L151)*(B151:B1149="925 sterling silver earrings")*(D151:D1149)*(E151:E1149)) / SUMIFS(E151:E1149, A151:A1149, $L151, B151:B1149, "925 sterling silver earrings")</f>
        <v>#DIV/0!</v>
      </c>
      <c r="T151" s="7" t="e" cm="1">
        <f t="array" ref="T151">SUMPRODUCT((A151:A1149=$L151)*(B151:B1149="hoops")*(D151:D1149)*(E151:E1149)) / SUMIFS(E151:E1149, A151:A1149, $L151, B151:B1149, "hoops")</f>
        <v>#DIV/0!</v>
      </c>
      <c r="U151" s="7" t="e" cm="1">
        <f t="array" ref="U151">SUMPRODUCT((A151:A1149=$L151)*(B151:B1149="hoops earrings for women")*(D151:D1149)*(E151:E1149)) / SUMIFS(E151:E1149, A151:A1149, $L151, B151:B1149, "hoops earrings for women")</f>
        <v>#DIV/0!</v>
      </c>
      <c r="V151" s="7" t="e" cm="1">
        <f t="array" ref="V151">SUMPRODUCT((A151:A1149=$L151)*(B151:B1149="silver hoops earrings for women")*(D151:D1149)*(E151:E1149)) / SUMIFS(E151:E1149, A151:A1149, $L151, B151:B1149, "silver hoops earrings for women")</f>
        <v>#DIV/0!</v>
      </c>
    </row>
    <row r="152" spans="1:22" x14ac:dyDescent="0.2">
      <c r="A152">
        <v>20250301</v>
      </c>
      <c r="B152" t="s">
        <v>10</v>
      </c>
      <c r="C152" t="s">
        <v>8</v>
      </c>
      <c r="D152">
        <v>2</v>
      </c>
      <c r="E152">
        <v>14.5</v>
      </c>
      <c r="F152">
        <v>0</v>
      </c>
      <c r="G152">
        <v>0</v>
      </c>
      <c r="H152" s="1">
        <f t="shared" si="5"/>
        <v>45717</v>
      </c>
      <c r="I152">
        <f t="shared" si="6"/>
        <v>9</v>
      </c>
      <c r="L152" s="9" t="s">
        <v>193</v>
      </c>
      <c r="M152" cm="1">
        <f t="array" ref="M152">SUMPRODUCT((A152:A1150=$L152)*(B152:B1150="sterling silver earrings")*(D152:D1150)*(E152:E1150)) / SUMIFS(E152:E1150, A152:A1150, $L152, B152:B1150, "sterling silver earrings")</f>
        <v>0</v>
      </c>
      <c r="N152" s="7" cm="1">
        <f t="array" ref="N152">SUMPRODUCT((A152:A1150=$L152)*(B152:B1150="silver hoop earrings for women")*(D152:D1150)*(E152:E1150)) / SUMIFS(E152:E1150, A152:A1150, $L152, B152:B1150, "silver hoop earrings for women")</f>
        <v>0</v>
      </c>
      <c r="O152" s="7" cm="1">
        <f t="array" ref="O152">SUMPRODUCT((A152:A1150=$L152)*(B152:B1150="hoop earrings")*(D152:D1150)*(E152:E1150)) / SUMIFS(E152:E1150, A152:A1150, $L152, B152:B1150, "hoop earrings")</f>
        <v>0</v>
      </c>
      <c r="P152" s="7" cm="1">
        <f t="array" ref="P152">SUMPRODUCT((A152:A1150=$L152)*(B152:B1150="silver hoops")*(D152:D1150)*(E152:E1150)) / SUMIFS(E152:E1150, A152:A1150, $L152, B152:B1150, "silver hoops")</f>
        <v>0</v>
      </c>
      <c r="Q152" s="7" cm="1">
        <f t="array" ref="Q152">SUMPRODUCT((A152:A1150=$L152)*(B152:B1150="sterling silver hoop earrings")*(D152:D1150)*(E152:E1150)) / SUMIFS(E152:E1150, A152:A1150, $L152, B152:B1150, "sterling silver hoop earrings")</f>
        <v>0</v>
      </c>
      <c r="R152" s="7" t="e" cm="1">
        <f t="array" ref="R152">SUMPRODUCT((A152:A1150=$L152)*(B152:B1150="silver hoop earrings")*(D152:D1150)*(E152:E1150)) / SUMIFS(E152:E1150, A152:A1150, $L152, B152:B1150, "silver hoop earrings")</f>
        <v>#DIV/0!</v>
      </c>
      <c r="S152" s="7" t="e" cm="1">
        <f t="array" ref="S152">SUMPRODUCT((A152:A1150=$L152)*(B152:B1150="925 sterling silver earrings")*(D152:D1150)*(E152:E1150)) / SUMIFS(E152:E1150, A152:A1150, $L152, B152:B1150, "925 sterling silver earrings")</f>
        <v>#DIV/0!</v>
      </c>
      <c r="T152" s="7" t="e" cm="1">
        <f t="array" ref="T152">SUMPRODUCT((A152:A1150=$L152)*(B152:B1150="hoops")*(D152:D1150)*(E152:E1150)) / SUMIFS(E152:E1150, A152:A1150, $L152, B152:B1150, "hoops")</f>
        <v>#DIV/0!</v>
      </c>
      <c r="U152" s="7" t="e" cm="1">
        <f t="array" ref="U152">SUMPRODUCT((A152:A1150=$L152)*(B152:B1150="hoops earrings for women")*(D152:D1150)*(E152:E1150)) / SUMIFS(E152:E1150, A152:A1150, $L152, B152:B1150, "hoops earrings for women")</f>
        <v>#DIV/0!</v>
      </c>
      <c r="V152" s="7" t="e" cm="1">
        <f t="array" ref="V152">SUMPRODUCT((A152:A1150=$L152)*(B152:B1150="silver hoops earrings for women")*(D152:D1150)*(E152:E1150)) / SUMIFS(E152:E1150, A152:A1150, $L152, B152:B1150, "silver hoops earrings for women")</f>
        <v>#DIV/0!</v>
      </c>
    </row>
    <row r="153" spans="1:22" x14ac:dyDescent="0.2">
      <c r="A153">
        <v>20250302</v>
      </c>
      <c r="B153" t="s">
        <v>19</v>
      </c>
      <c r="C153" t="s">
        <v>8</v>
      </c>
      <c r="D153">
        <v>4</v>
      </c>
      <c r="E153">
        <v>1</v>
      </c>
      <c r="F153">
        <v>0</v>
      </c>
      <c r="G153">
        <v>0</v>
      </c>
      <c r="H153" s="1">
        <f t="shared" si="5"/>
        <v>45718</v>
      </c>
      <c r="I153">
        <f t="shared" si="6"/>
        <v>10</v>
      </c>
      <c r="L153" s="9" t="s">
        <v>194</v>
      </c>
      <c r="M153" cm="1">
        <f t="array" ref="M153">SUMPRODUCT((A153:A1151=$L153)*(B153:B1151="sterling silver earrings")*(D153:D1151)*(E153:E1151)) / SUMIFS(E153:E1151, A153:A1151, $L153, B153:B1151, "sterling silver earrings")</f>
        <v>0</v>
      </c>
      <c r="N153" s="7" cm="1">
        <f t="array" ref="N153">SUMPRODUCT((A153:A1151=$L153)*(B153:B1151="silver hoop earrings for women")*(D153:D1151)*(E153:E1151)) / SUMIFS(E153:E1151, A153:A1151, $L153, B153:B1151, "silver hoop earrings for women")</f>
        <v>0</v>
      </c>
      <c r="O153" s="7" cm="1">
        <f t="array" ref="O153">SUMPRODUCT((A153:A1151=$L153)*(B153:B1151="hoop earrings")*(D153:D1151)*(E153:E1151)) / SUMIFS(E153:E1151, A153:A1151, $L153, B153:B1151, "hoop earrings")</f>
        <v>0</v>
      </c>
      <c r="P153" s="7" t="e" cm="1">
        <f t="array" ref="P153">SUMPRODUCT((A153:A1151=$L153)*(B153:B1151="silver hoops")*(D153:D1151)*(E153:E1151)) / SUMIFS(E153:E1151, A153:A1151, $L153, B153:B1151, "silver hoops")</f>
        <v>#DIV/0!</v>
      </c>
      <c r="Q153" s="7" cm="1">
        <f t="array" ref="Q153">SUMPRODUCT((A153:A1151=$L153)*(B153:B1151="sterling silver hoop earrings")*(D153:D1151)*(E153:E1151)) / SUMIFS(E153:E1151, A153:A1151, $L153, B153:B1151, "sterling silver hoop earrings")</f>
        <v>0</v>
      </c>
      <c r="R153" s="7" cm="1">
        <f t="array" ref="R153">SUMPRODUCT((A153:A1151=$L153)*(B153:B1151="silver hoop earrings")*(D153:D1151)*(E153:E1151)) / SUMIFS(E153:E1151, A153:A1151, $L153, B153:B1151, "silver hoop earrings")</f>
        <v>0</v>
      </c>
      <c r="S153" s="7" t="e" cm="1">
        <f t="array" ref="S153">SUMPRODUCT((A153:A1151=$L153)*(B153:B1151="925 sterling silver earrings")*(D153:D1151)*(E153:E1151)) / SUMIFS(E153:E1151, A153:A1151, $L153, B153:B1151, "925 sterling silver earrings")</f>
        <v>#DIV/0!</v>
      </c>
      <c r="T153" s="7" t="e" cm="1">
        <f t="array" ref="T153">SUMPRODUCT((A153:A1151=$L153)*(B153:B1151="hoops")*(D153:D1151)*(E153:E1151)) / SUMIFS(E153:E1151, A153:A1151, $L153, B153:B1151, "hoops")</f>
        <v>#DIV/0!</v>
      </c>
      <c r="U153" s="7" t="e" cm="1">
        <f t="array" ref="U153">SUMPRODUCT((A153:A1151=$L153)*(B153:B1151="hoops earrings for women")*(D153:D1151)*(E153:E1151)) / SUMIFS(E153:E1151, A153:A1151, $L153, B153:B1151, "hoops earrings for women")</f>
        <v>#DIV/0!</v>
      </c>
      <c r="V153" s="7" cm="1">
        <f t="array" ref="V153">SUMPRODUCT((A153:A1151=$L153)*(B153:B1151="silver hoops earrings for women")*(D153:D1151)*(E153:E1151)) / SUMIFS(E153:E1151, A153:A1151, $L153, B153:B1151, "silver hoops earrings for women")</f>
        <v>0</v>
      </c>
    </row>
    <row r="154" spans="1:22" x14ac:dyDescent="0.2">
      <c r="A154">
        <v>20250302</v>
      </c>
      <c r="B154" t="s">
        <v>16</v>
      </c>
      <c r="C154" t="s">
        <v>8</v>
      </c>
      <c r="D154">
        <v>1</v>
      </c>
      <c r="E154">
        <v>31</v>
      </c>
      <c r="F154">
        <v>0</v>
      </c>
      <c r="G154">
        <v>0</v>
      </c>
      <c r="H154" s="1">
        <f t="shared" si="5"/>
        <v>45718</v>
      </c>
      <c r="I154">
        <f t="shared" si="6"/>
        <v>10</v>
      </c>
      <c r="L154" s="9" t="s">
        <v>195</v>
      </c>
      <c r="M154" cm="1">
        <f t="array" ref="M154">SUMPRODUCT((A154:A1152=$L154)*(B154:B1152="sterling silver earrings")*(D154:D1152)*(E154:E1152)) / SUMIFS(E154:E1152, A154:A1152, $L154, B154:B1152, "sterling silver earrings")</f>
        <v>0</v>
      </c>
      <c r="N154" s="7" cm="1">
        <f t="array" ref="N154">SUMPRODUCT((A154:A1152=$L154)*(B154:B1152="silver hoop earrings for women")*(D154:D1152)*(E154:E1152)) / SUMIFS(E154:E1152, A154:A1152, $L154, B154:B1152, "silver hoop earrings for women")</f>
        <v>0</v>
      </c>
      <c r="O154" s="7" t="e" cm="1">
        <f t="array" ref="O154">SUMPRODUCT((A154:A1152=$L154)*(B154:B1152="hoop earrings")*(D154:D1152)*(E154:E1152)) / SUMIFS(E154:E1152, A154:A1152, $L154, B154:B1152, "hoop earrings")</f>
        <v>#DIV/0!</v>
      </c>
      <c r="P154" s="7" t="e" cm="1">
        <f t="array" ref="P154">SUMPRODUCT((A154:A1152=$L154)*(B154:B1152="silver hoops")*(D154:D1152)*(E154:E1152)) / SUMIFS(E154:E1152, A154:A1152, $L154, B154:B1152, "silver hoops")</f>
        <v>#DIV/0!</v>
      </c>
      <c r="Q154" s="7" cm="1">
        <f t="array" ref="Q154">SUMPRODUCT((A154:A1152=$L154)*(B154:B1152="sterling silver hoop earrings")*(D154:D1152)*(E154:E1152)) / SUMIFS(E154:E1152, A154:A1152, $L154, B154:B1152, "sterling silver hoop earrings")</f>
        <v>0</v>
      </c>
      <c r="R154" s="7" cm="1">
        <f t="array" ref="R154">SUMPRODUCT((A154:A1152=$L154)*(B154:B1152="silver hoop earrings")*(D154:D1152)*(E154:E1152)) / SUMIFS(E154:E1152, A154:A1152, $L154, B154:B1152, "silver hoop earrings")</f>
        <v>0</v>
      </c>
      <c r="S154" s="7" cm="1">
        <f t="array" ref="S154">SUMPRODUCT((A154:A1152=$L154)*(B154:B1152="925 sterling silver earrings")*(D154:D1152)*(E154:E1152)) / SUMIFS(E154:E1152, A154:A1152, $L154, B154:B1152, "925 sterling silver earrings")</f>
        <v>0</v>
      </c>
      <c r="T154" s="7" t="e" cm="1">
        <f t="array" ref="T154">SUMPRODUCT((A154:A1152=$L154)*(B154:B1152="hoops")*(D154:D1152)*(E154:E1152)) / SUMIFS(E154:E1152, A154:A1152, $L154, B154:B1152, "hoops")</f>
        <v>#DIV/0!</v>
      </c>
      <c r="U154" s="7" t="e" cm="1">
        <f t="array" ref="U154">SUMPRODUCT((A154:A1152=$L154)*(B154:B1152="hoops earrings for women")*(D154:D1152)*(E154:E1152)) / SUMIFS(E154:E1152, A154:A1152, $L154, B154:B1152, "hoops earrings for women")</f>
        <v>#DIV/0!</v>
      </c>
      <c r="V154" s="7" t="e" cm="1">
        <f t="array" ref="V154">SUMPRODUCT((A154:A1152=$L154)*(B154:B1152="silver hoops earrings for women")*(D154:D1152)*(E154:E1152)) / SUMIFS(E154:E1152, A154:A1152, $L154, B154:B1152, "silver hoops earrings for women")</f>
        <v>#DIV/0!</v>
      </c>
    </row>
    <row r="155" spans="1:22" x14ac:dyDescent="0.2">
      <c r="A155">
        <v>20250302</v>
      </c>
      <c r="B155" t="s">
        <v>7</v>
      </c>
      <c r="C155" t="s">
        <v>8</v>
      </c>
      <c r="D155">
        <v>2</v>
      </c>
      <c r="E155">
        <v>22</v>
      </c>
      <c r="F155">
        <v>0</v>
      </c>
      <c r="G155">
        <v>0</v>
      </c>
      <c r="H155" s="1">
        <f t="shared" si="5"/>
        <v>45718</v>
      </c>
      <c r="I155">
        <f t="shared" si="6"/>
        <v>10</v>
      </c>
      <c r="L155" s="9" t="s">
        <v>196</v>
      </c>
      <c r="M155" cm="1">
        <f t="array" ref="M155">SUMPRODUCT((A155:A1153=$L155)*(B155:B1153="sterling silver earrings")*(D155:D1153)*(E155:E1153)) / SUMIFS(E155:E1153, A155:A1153, $L155, B155:B1153, "sterling silver earrings")</f>
        <v>0</v>
      </c>
      <c r="N155" s="7" cm="1">
        <f t="array" ref="N155">SUMPRODUCT((A155:A1153=$L155)*(B155:B1153="silver hoop earrings for women")*(D155:D1153)*(E155:E1153)) / SUMIFS(E155:E1153, A155:A1153, $L155, B155:B1153, "silver hoop earrings for women")</f>
        <v>0</v>
      </c>
      <c r="O155" s="7" cm="1">
        <f t="array" ref="O155">SUMPRODUCT((A155:A1153=$L155)*(B155:B1153="hoop earrings")*(D155:D1153)*(E155:E1153)) / SUMIFS(E155:E1153, A155:A1153, $L155, B155:B1153, "hoop earrings")</f>
        <v>0</v>
      </c>
      <c r="P155" s="7" t="e" cm="1">
        <f t="array" ref="P155">SUMPRODUCT((A155:A1153=$L155)*(B155:B1153="silver hoops")*(D155:D1153)*(E155:E1153)) / SUMIFS(E155:E1153, A155:A1153, $L155, B155:B1153, "silver hoops")</f>
        <v>#DIV/0!</v>
      </c>
      <c r="Q155" s="7" cm="1">
        <f t="array" ref="Q155">SUMPRODUCT((A155:A1153=$L155)*(B155:B1153="sterling silver hoop earrings")*(D155:D1153)*(E155:E1153)) / SUMIFS(E155:E1153, A155:A1153, $L155, B155:B1153, "sterling silver hoop earrings")</f>
        <v>0</v>
      </c>
      <c r="R155" s="7" cm="1">
        <f t="array" ref="R155">SUMPRODUCT((A155:A1153=$L155)*(B155:B1153="silver hoop earrings")*(D155:D1153)*(E155:E1153)) / SUMIFS(E155:E1153, A155:A1153, $L155, B155:B1153, "silver hoop earrings")</f>
        <v>0</v>
      </c>
      <c r="S155" s="7" t="e" cm="1">
        <f t="array" ref="S155">SUMPRODUCT((A155:A1153=$L155)*(B155:B1153="925 sterling silver earrings")*(D155:D1153)*(E155:E1153)) / SUMIFS(E155:E1153, A155:A1153, $L155, B155:B1153, "925 sterling silver earrings")</f>
        <v>#DIV/0!</v>
      </c>
      <c r="T155" s="7" t="e" cm="1">
        <f t="array" ref="T155">SUMPRODUCT((A155:A1153=$L155)*(B155:B1153="hoops")*(D155:D1153)*(E155:E1153)) / SUMIFS(E155:E1153, A155:A1153, $L155, B155:B1153, "hoops")</f>
        <v>#DIV/0!</v>
      </c>
      <c r="U155" s="7" t="e" cm="1">
        <f t="array" ref="U155">SUMPRODUCT((A155:A1153=$L155)*(B155:B1153="hoops earrings for women")*(D155:D1153)*(E155:E1153)) / SUMIFS(E155:E1153, A155:A1153, $L155, B155:B1153, "hoops earrings for women")</f>
        <v>#DIV/0!</v>
      </c>
      <c r="V155" s="7" t="e" cm="1">
        <f t="array" ref="V155">SUMPRODUCT((A155:A1153=$L155)*(B155:B1153="silver hoops earrings for women")*(D155:D1153)*(E155:E1153)) / SUMIFS(E155:E1153, A155:A1153, $L155, B155:B1153, "silver hoops earrings for women")</f>
        <v>#DIV/0!</v>
      </c>
    </row>
    <row r="156" spans="1:22" x14ac:dyDescent="0.2">
      <c r="A156">
        <v>20250302</v>
      </c>
      <c r="B156" t="s">
        <v>10</v>
      </c>
      <c r="C156" t="s">
        <v>8</v>
      </c>
      <c r="D156">
        <v>1</v>
      </c>
      <c r="E156">
        <v>34</v>
      </c>
      <c r="F156">
        <v>0</v>
      </c>
      <c r="G156">
        <v>0</v>
      </c>
      <c r="H156" s="1">
        <f t="shared" si="5"/>
        <v>45718</v>
      </c>
      <c r="I156">
        <f t="shared" si="6"/>
        <v>10</v>
      </c>
      <c r="L156" s="9" t="s">
        <v>197</v>
      </c>
      <c r="M156" cm="1">
        <f t="array" ref="M156">SUMPRODUCT((A156:A1154=$L156)*(B156:B1154="sterling silver earrings")*(D156:D1154)*(E156:E1154)) / SUMIFS(E156:E1154, A156:A1154, $L156, B156:B1154, "sterling silver earrings")</f>
        <v>0</v>
      </c>
      <c r="N156" s="7" cm="1">
        <f t="array" ref="N156">SUMPRODUCT((A156:A1154=$L156)*(B156:B1154="silver hoop earrings for women")*(D156:D1154)*(E156:E1154)) / SUMIFS(E156:E1154, A156:A1154, $L156, B156:B1154, "silver hoop earrings for women")</f>
        <v>0</v>
      </c>
      <c r="O156" s="7" cm="1">
        <f t="array" ref="O156">SUMPRODUCT((A156:A1154=$L156)*(B156:B1154="hoop earrings")*(D156:D1154)*(E156:E1154)) / SUMIFS(E156:E1154, A156:A1154, $L156, B156:B1154, "hoop earrings")</f>
        <v>0</v>
      </c>
      <c r="P156" s="7" t="e" cm="1">
        <f t="array" ref="P156">SUMPRODUCT((A156:A1154=$L156)*(B156:B1154="silver hoops")*(D156:D1154)*(E156:E1154)) / SUMIFS(E156:E1154, A156:A1154, $L156, B156:B1154, "silver hoops")</f>
        <v>#DIV/0!</v>
      </c>
      <c r="Q156" s="7" cm="1">
        <f t="array" ref="Q156">SUMPRODUCT((A156:A1154=$L156)*(B156:B1154="sterling silver hoop earrings")*(D156:D1154)*(E156:E1154)) / SUMIFS(E156:E1154, A156:A1154, $L156, B156:B1154, "sterling silver hoop earrings")</f>
        <v>0</v>
      </c>
      <c r="R156" s="7" t="e" cm="1">
        <f t="array" ref="R156">SUMPRODUCT((A156:A1154=$L156)*(B156:B1154="silver hoop earrings")*(D156:D1154)*(E156:E1154)) / SUMIFS(E156:E1154, A156:A1154, $L156, B156:B1154, "silver hoop earrings")</f>
        <v>#DIV/0!</v>
      </c>
      <c r="S156" s="7" t="e" cm="1">
        <f t="array" ref="S156">SUMPRODUCT((A156:A1154=$L156)*(B156:B1154="925 sterling silver earrings")*(D156:D1154)*(E156:E1154)) / SUMIFS(E156:E1154, A156:A1154, $L156, B156:B1154, "925 sterling silver earrings")</f>
        <v>#DIV/0!</v>
      </c>
      <c r="T156" s="7" t="e" cm="1">
        <f t="array" ref="T156">SUMPRODUCT((A156:A1154=$L156)*(B156:B1154="hoops")*(D156:D1154)*(E156:E1154)) / SUMIFS(E156:E1154, A156:A1154, $L156, B156:B1154, "hoops")</f>
        <v>#DIV/0!</v>
      </c>
      <c r="U156" s="7" t="e" cm="1">
        <f t="array" ref="U156">SUMPRODUCT((A156:A1154=$L156)*(B156:B1154="hoops earrings for women")*(D156:D1154)*(E156:E1154)) / SUMIFS(E156:E1154, A156:A1154, $L156, B156:B1154, "hoops earrings for women")</f>
        <v>#DIV/0!</v>
      </c>
      <c r="V156" s="7" t="e" cm="1">
        <f t="array" ref="V156">SUMPRODUCT((A156:A1154=$L156)*(B156:B1154="silver hoops earrings for women")*(D156:D1154)*(E156:E1154)) / SUMIFS(E156:E1154, A156:A1154, $L156, B156:B1154, "silver hoops earrings for women")</f>
        <v>#DIV/0!</v>
      </c>
    </row>
    <row r="157" spans="1:22" x14ac:dyDescent="0.2">
      <c r="A157">
        <v>20250303</v>
      </c>
      <c r="B157" t="s">
        <v>7</v>
      </c>
      <c r="C157" t="s">
        <v>8</v>
      </c>
      <c r="D157">
        <v>1</v>
      </c>
      <c r="E157">
        <v>10</v>
      </c>
      <c r="F157">
        <v>0</v>
      </c>
      <c r="G157">
        <v>0</v>
      </c>
      <c r="H157" s="1">
        <f t="shared" si="5"/>
        <v>45719</v>
      </c>
      <c r="I157">
        <f t="shared" si="6"/>
        <v>10</v>
      </c>
      <c r="L157" s="9" t="s">
        <v>198</v>
      </c>
      <c r="M157" cm="1">
        <f t="array" ref="M157">SUMPRODUCT((A157:A1155=$L157)*(B157:B1155="sterling silver earrings")*(D157:D1155)*(E157:E1155)) / SUMIFS(E157:E1155, A157:A1155, $L157, B157:B1155, "sterling silver earrings")</f>
        <v>0</v>
      </c>
      <c r="N157" s="7" cm="1">
        <f t="array" ref="N157">SUMPRODUCT((A157:A1155=$L157)*(B157:B1155="silver hoop earrings for women")*(D157:D1155)*(E157:E1155)) / SUMIFS(E157:E1155, A157:A1155, $L157, B157:B1155, "silver hoop earrings for women")</f>
        <v>0</v>
      </c>
      <c r="O157" s="7" cm="1">
        <f t="array" ref="O157">SUMPRODUCT((A157:A1155=$L157)*(B157:B1155="hoop earrings")*(D157:D1155)*(E157:E1155)) / SUMIFS(E157:E1155, A157:A1155, $L157, B157:B1155, "hoop earrings")</f>
        <v>0</v>
      </c>
      <c r="P157" s="7" cm="1">
        <f t="array" ref="P157">SUMPRODUCT((A157:A1155=$L157)*(B157:B1155="silver hoops")*(D157:D1155)*(E157:E1155)) / SUMIFS(E157:E1155, A157:A1155, $L157, B157:B1155, "silver hoops")</f>
        <v>0</v>
      </c>
      <c r="Q157" s="7" cm="1">
        <f t="array" ref="Q157">SUMPRODUCT((A157:A1155=$L157)*(B157:B1155="sterling silver hoop earrings")*(D157:D1155)*(E157:E1155)) / SUMIFS(E157:E1155, A157:A1155, $L157, B157:B1155, "sterling silver hoop earrings")</f>
        <v>0</v>
      </c>
      <c r="R157" s="7" cm="1">
        <f t="array" ref="R157">SUMPRODUCT((A157:A1155=$L157)*(B157:B1155="silver hoop earrings")*(D157:D1155)*(E157:E1155)) / SUMIFS(E157:E1155, A157:A1155, $L157, B157:B1155, "silver hoop earrings")</f>
        <v>0</v>
      </c>
      <c r="S157" s="7" t="e" cm="1">
        <f t="array" ref="S157">SUMPRODUCT((A157:A1155=$L157)*(B157:B1155="925 sterling silver earrings")*(D157:D1155)*(E157:E1155)) / SUMIFS(E157:E1155, A157:A1155, $L157, B157:B1155, "925 sterling silver earrings")</f>
        <v>#DIV/0!</v>
      </c>
      <c r="T157" s="7" t="e" cm="1">
        <f t="array" ref="T157">SUMPRODUCT((A157:A1155=$L157)*(B157:B1155="hoops")*(D157:D1155)*(E157:E1155)) / SUMIFS(E157:E1155, A157:A1155, $L157, B157:B1155, "hoops")</f>
        <v>#DIV/0!</v>
      </c>
      <c r="U157" s="7" t="e" cm="1">
        <f t="array" ref="U157">SUMPRODUCT((A157:A1155=$L157)*(B157:B1155="hoops earrings for women")*(D157:D1155)*(E157:E1155)) / SUMIFS(E157:E1155, A157:A1155, $L157, B157:B1155, "hoops earrings for women")</f>
        <v>#DIV/0!</v>
      </c>
      <c r="V157" s="7" t="e" cm="1">
        <f t="array" ref="V157">SUMPRODUCT((A157:A1155=$L157)*(B157:B1155="silver hoops earrings for women")*(D157:D1155)*(E157:E1155)) / SUMIFS(E157:E1155, A157:A1155, $L157, B157:B1155, "silver hoops earrings for women")</f>
        <v>#DIV/0!</v>
      </c>
    </row>
    <row r="158" spans="1:22" x14ac:dyDescent="0.2">
      <c r="A158">
        <v>20250303</v>
      </c>
      <c r="B158" t="s">
        <v>23</v>
      </c>
      <c r="C158" t="s">
        <v>8</v>
      </c>
      <c r="D158">
        <v>3</v>
      </c>
      <c r="E158">
        <v>20.6666666666666</v>
      </c>
      <c r="F158">
        <v>0</v>
      </c>
      <c r="G158">
        <v>0</v>
      </c>
      <c r="H158" s="1">
        <f t="shared" si="5"/>
        <v>45719</v>
      </c>
      <c r="I158">
        <f t="shared" si="6"/>
        <v>10</v>
      </c>
      <c r="L158" s="9" t="s">
        <v>199</v>
      </c>
      <c r="M158" cm="1">
        <f t="array" ref="M158">SUMPRODUCT((A158:A1156=$L158)*(B158:B1156="sterling silver earrings")*(D158:D1156)*(E158:E1156)) / SUMIFS(E158:E1156, A158:A1156, $L158, B158:B1156, "sterling silver earrings")</f>
        <v>0</v>
      </c>
      <c r="N158" s="7" cm="1">
        <f t="array" ref="N158">SUMPRODUCT((A158:A1156=$L158)*(B158:B1156="silver hoop earrings for women")*(D158:D1156)*(E158:E1156)) / SUMIFS(E158:E1156, A158:A1156, $L158, B158:B1156, "silver hoop earrings for women")</f>
        <v>0</v>
      </c>
      <c r="O158" s="7" cm="1">
        <f t="array" ref="O158">SUMPRODUCT((A158:A1156=$L158)*(B158:B1156="hoop earrings")*(D158:D1156)*(E158:E1156)) / SUMIFS(E158:E1156, A158:A1156, $L158, B158:B1156, "hoop earrings")</f>
        <v>0</v>
      </c>
      <c r="P158" s="7" cm="1">
        <f t="array" ref="P158">SUMPRODUCT((A158:A1156=$L158)*(B158:B1156="silver hoops")*(D158:D1156)*(E158:E1156)) / SUMIFS(E158:E1156, A158:A1156, $L158, B158:B1156, "silver hoops")</f>
        <v>0</v>
      </c>
      <c r="Q158" s="7" cm="1">
        <f t="array" ref="Q158">SUMPRODUCT((A158:A1156=$L158)*(B158:B1156="sterling silver hoop earrings")*(D158:D1156)*(E158:E1156)) / SUMIFS(E158:E1156, A158:A1156, $L158, B158:B1156, "sterling silver hoop earrings")</f>
        <v>0</v>
      </c>
      <c r="R158" s="7" t="e" cm="1">
        <f t="array" ref="R158">SUMPRODUCT((A158:A1156=$L158)*(B158:B1156="silver hoop earrings")*(D158:D1156)*(E158:E1156)) / SUMIFS(E158:E1156, A158:A1156, $L158, B158:B1156, "silver hoop earrings")</f>
        <v>#DIV/0!</v>
      </c>
      <c r="S158" s="7" cm="1">
        <f t="array" ref="S158">SUMPRODUCT((A158:A1156=$L158)*(B158:B1156="925 sterling silver earrings")*(D158:D1156)*(E158:E1156)) / SUMIFS(E158:E1156, A158:A1156, $L158, B158:B1156, "925 sterling silver earrings")</f>
        <v>0</v>
      </c>
      <c r="T158" s="7" t="e" cm="1">
        <f t="array" ref="T158">SUMPRODUCT((A158:A1156=$L158)*(B158:B1156="hoops")*(D158:D1156)*(E158:E1156)) / SUMIFS(E158:E1156, A158:A1156, $L158, B158:B1156, "hoops")</f>
        <v>#DIV/0!</v>
      </c>
      <c r="U158" s="7" t="e" cm="1">
        <f t="array" ref="U158">SUMPRODUCT((A158:A1156=$L158)*(B158:B1156="hoops earrings for women")*(D158:D1156)*(E158:E1156)) / SUMIFS(E158:E1156, A158:A1156, $L158, B158:B1156, "hoops earrings for women")</f>
        <v>#DIV/0!</v>
      </c>
      <c r="V158" s="7" t="e" cm="1">
        <f t="array" ref="V158">SUMPRODUCT((A158:A1156=$L158)*(B158:B1156="silver hoops earrings for women")*(D158:D1156)*(E158:E1156)) / SUMIFS(E158:E1156, A158:A1156, $L158, B158:B1156, "silver hoops earrings for women")</f>
        <v>#DIV/0!</v>
      </c>
    </row>
    <row r="159" spans="1:22" x14ac:dyDescent="0.2">
      <c r="A159">
        <v>20250304</v>
      </c>
      <c r="B159" t="s">
        <v>19</v>
      </c>
      <c r="C159" t="s">
        <v>8</v>
      </c>
      <c r="D159">
        <v>2</v>
      </c>
      <c r="E159">
        <v>39</v>
      </c>
      <c r="F159">
        <v>0</v>
      </c>
      <c r="G159">
        <v>0</v>
      </c>
      <c r="H159" s="1">
        <f t="shared" si="5"/>
        <v>45720</v>
      </c>
      <c r="I159">
        <f t="shared" si="6"/>
        <v>10</v>
      </c>
      <c r="L159" s="9" t="s">
        <v>200</v>
      </c>
      <c r="M159" cm="1">
        <f t="array" ref="M159">SUMPRODUCT((A159:A1157=$L159)*(B159:B1157="sterling silver earrings")*(D159:D1157)*(E159:E1157)) / SUMIFS(E159:E1157, A159:A1157, $L159, B159:B1157, "sterling silver earrings")</f>
        <v>0</v>
      </c>
      <c r="N159" s="7" cm="1">
        <f t="array" ref="N159">SUMPRODUCT((A159:A1157=$L159)*(B159:B1157="silver hoop earrings for women")*(D159:D1157)*(E159:E1157)) / SUMIFS(E159:E1157, A159:A1157, $L159, B159:B1157, "silver hoop earrings for women")</f>
        <v>0</v>
      </c>
      <c r="O159" s="7" t="e" cm="1">
        <f t="array" ref="O159">SUMPRODUCT((A159:A1157=$L159)*(B159:B1157="hoop earrings")*(D159:D1157)*(E159:E1157)) / SUMIFS(E159:E1157, A159:A1157, $L159, B159:B1157, "hoop earrings")</f>
        <v>#DIV/0!</v>
      </c>
      <c r="P159" s="7" cm="1">
        <f t="array" ref="P159">SUMPRODUCT((A159:A1157=$L159)*(B159:B1157="silver hoops")*(D159:D1157)*(E159:E1157)) / SUMIFS(E159:E1157, A159:A1157, $L159, B159:B1157, "silver hoops")</f>
        <v>0</v>
      </c>
      <c r="Q159" s="7" cm="1">
        <f t="array" ref="Q159">SUMPRODUCT((A159:A1157=$L159)*(B159:B1157="sterling silver hoop earrings")*(D159:D1157)*(E159:E1157)) / SUMIFS(E159:E1157, A159:A1157, $L159, B159:B1157, "sterling silver hoop earrings")</f>
        <v>0</v>
      </c>
      <c r="R159" s="7" cm="1">
        <f t="array" ref="R159">SUMPRODUCT((A159:A1157=$L159)*(B159:B1157="silver hoop earrings")*(D159:D1157)*(E159:E1157)) / SUMIFS(E159:E1157, A159:A1157, $L159, B159:B1157, "silver hoop earrings")</f>
        <v>0</v>
      </c>
      <c r="S159" s="7" cm="1">
        <f t="array" ref="S159">SUMPRODUCT((A159:A1157=$L159)*(B159:B1157="925 sterling silver earrings")*(D159:D1157)*(E159:E1157)) / SUMIFS(E159:E1157, A159:A1157, $L159, B159:B1157, "925 sterling silver earrings")</f>
        <v>0</v>
      </c>
      <c r="T159" s="7" t="e" cm="1">
        <f t="array" ref="T159">SUMPRODUCT((A159:A1157=$L159)*(B159:B1157="hoops")*(D159:D1157)*(E159:E1157)) / SUMIFS(E159:E1157, A159:A1157, $L159, B159:B1157, "hoops")</f>
        <v>#DIV/0!</v>
      </c>
      <c r="U159" s="7" cm="1">
        <f t="array" ref="U159">SUMPRODUCT((A159:A1157=$L159)*(B159:B1157="hoops earrings for women")*(D159:D1157)*(E159:E1157)) / SUMIFS(E159:E1157, A159:A1157, $L159, B159:B1157, "hoops earrings for women")</f>
        <v>0</v>
      </c>
      <c r="V159" s="7" cm="1">
        <f t="array" ref="V159">SUMPRODUCT((A159:A1157=$L159)*(B159:B1157="silver hoops earrings for women")*(D159:D1157)*(E159:E1157)) / SUMIFS(E159:E1157, A159:A1157, $L159, B159:B1157, "silver hoops earrings for women")</f>
        <v>0</v>
      </c>
    </row>
    <row r="160" spans="1:22" x14ac:dyDescent="0.2">
      <c r="A160">
        <v>20250304</v>
      </c>
      <c r="B160" t="s">
        <v>7</v>
      </c>
      <c r="C160" t="s">
        <v>8</v>
      </c>
      <c r="D160">
        <v>1</v>
      </c>
      <c r="E160">
        <v>13</v>
      </c>
      <c r="F160">
        <v>0</v>
      </c>
      <c r="G160">
        <v>0</v>
      </c>
      <c r="H160" s="1">
        <f t="shared" si="5"/>
        <v>45720</v>
      </c>
      <c r="I160">
        <f t="shared" si="6"/>
        <v>10</v>
      </c>
      <c r="L160" s="9" t="s">
        <v>201</v>
      </c>
      <c r="M160" cm="1">
        <f t="array" ref="M160">SUMPRODUCT((A160:A1158=$L160)*(B160:B1158="sterling silver earrings")*(D160:D1158)*(E160:E1158)) / SUMIFS(E160:E1158, A160:A1158, $L160, B160:B1158, "sterling silver earrings")</f>
        <v>0</v>
      </c>
      <c r="N160" s="7" cm="1">
        <f t="array" ref="N160">SUMPRODUCT((A160:A1158=$L160)*(B160:B1158="silver hoop earrings for women")*(D160:D1158)*(E160:E1158)) / SUMIFS(E160:E1158, A160:A1158, $L160, B160:B1158, "silver hoop earrings for women")</f>
        <v>0</v>
      </c>
      <c r="O160" s="7" cm="1">
        <f t="array" ref="O160">SUMPRODUCT((A160:A1158=$L160)*(B160:B1158="hoop earrings")*(D160:D1158)*(E160:E1158)) / SUMIFS(E160:E1158, A160:A1158, $L160, B160:B1158, "hoop earrings")</f>
        <v>0</v>
      </c>
      <c r="P160" s="7" t="e" cm="1">
        <f t="array" ref="P160">SUMPRODUCT((A160:A1158=$L160)*(B160:B1158="silver hoops")*(D160:D1158)*(E160:E1158)) / SUMIFS(E160:E1158, A160:A1158, $L160, B160:B1158, "silver hoops")</f>
        <v>#DIV/0!</v>
      </c>
      <c r="Q160" s="7" cm="1">
        <f t="array" ref="Q160">SUMPRODUCT((A160:A1158=$L160)*(B160:B1158="sterling silver hoop earrings")*(D160:D1158)*(E160:E1158)) / SUMIFS(E160:E1158, A160:A1158, $L160, B160:B1158, "sterling silver hoop earrings")</f>
        <v>0</v>
      </c>
      <c r="R160" s="7" t="e" cm="1">
        <f t="array" ref="R160">SUMPRODUCT((A160:A1158=$L160)*(B160:B1158="silver hoop earrings")*(D160:D1158)*(E160:E1158)) / SUMIFS(E160:E1158, A160:A1158, $L160, B160:B1158, "silver hoop earrings")</f>
        <v>#DIV/0!</v>
      </c>
      <c r="S160" s="7" t="e" cm="1">
        <f t="array" ref="S160">SUMPRODUCT((A160:A1158=$L160)*(B160:B1158="925 sterling silver earrings")*(D160:D1158)*(E160:E1158)) / SUMIFS(E160:E1158, A160:A1158, $L160, B160:B1158, "925 sterling silver earrings")</f>
        <v>#DIV/0!</v>
      </c>
      <c r="T160" s="7" t="e" cm="1">
        <f t="array" ref="T160">SUMPRODUCT((A160:A1158=$L160)*(B160:B1158="hoops")*(D160:D1158)*(E160:E1158)) / SUMIFS(E160:E1158, A160:A1158, $L160, B160:B1158, "hoops")</f>
        <v>#DIV/0!</v>
      </c>
      <c r="U160" s="7" t="e" cm="1">
        <f t="array" ref="U160">SUMPRODUCT((A160:A1158=$L160)*(B160:B1158="hoops earrings for women")*(D160:D1158)*(E160:E1158)) / SUMIFS(E160:E1158, A160:A1158, $L160, B160:B1158, "hoops earrings for women")</f>
        <v>#DIV/0!</v>
      </c>
      <c r="V160" s="7" t="e" cm="1">
        <f t="array" ref="V160">SUMPRODUCT((A160:A1158=$L160)*(B160:B1158="silver hoops earrings for women")*(D160:D1158)*(E160:E1158)) / SUMIFS(E160:E1158, A160:A1158, $L160, B160:B1158, "silver hoops earrings for women")</f>
        <v>#DIV/0!</v>
      </c>
    </row>
    <row r="161" spans="1:22" x14ac:dyDescent="0.2">
      <c r="A161">
        <v>20250304</v>
      </c>
      <c r="B161" t="s">
        <v>9</v>
      </c>
      <c r="C161" t="s">
        <v>13</v>
      </c>
      <c r="D161">
        <v>1</v>
      </c>
      <c r="E161">
        <v>1</v>
      </c>
      <c r="F161">
        <v>0</v>
      </c>
      <c r="G161">
        <v>0</v>
      </c>
      <c r="H161" s="1">
        <f t="shared" si="5"/>
        <v>45720</v>
      </c>
      <c r="I161">
        <f t="shared" si="6"/>
        <v>10</v>
      </c>
      <c r="L161" s="9" t="s">
        <v>202</v>
      </c>
      <c r="M161" cm="1">
        <f t="array" ref="M161">SUMPRODUCT((A161:A1159=$L161)*(B161:B1159="sterling silver earrings")*(D161:D1159)*(E161:E1159)) / SUMIFS(E161:E1159, A161:A1159, $L161, B161:B1159, "sterling silver earrings")</f>
        <v>0</v>
      </c>
      <c r="N161" s="7" cm="1">
        <f t="array" ref="N161">SUMPRODUCT((A161:A1159=$L161)*(B161:B1159="silver hoop earrings for women")*(D161:D1159)*(E161:E1159)) / SUMIFS(E161:E1159, A161:A1159, $L161, B161:B1159, "silver hoop earrings for women")</f>
        <v>0</v>
      </c>
      <c r="O161" s="7" cm="1">
        <f t="array" ref="O161">SUMPRODUCT((A161:A1159=$L161)*(B161:B1159="hoop earrings")*(D161:D1159)*(E161:E1159)) / SUMIFS(E161:E1159, A161:A1159, $L161, B161:B1159, "hoop earrings")</f>
        <v>0</v>
      </c>
      <c r="P161" s="7" t="e" cm="1">
        <f t="array" ref="P161">SUMPRODUCT((A161:A1159=$L161)*(B161:B1159="silver hoops")*(D161:D1159)*(E161:E1159)) / SUMIFS(E161:E1159, A161:A1159, $L161, B161:B1159, "silver hoops")</f>
        <v>#DIV/0!</v>
      </c>
      <c r="Q161" s="7" cm="1">
        <f t="array" ref="Q161">SUMPRODUCT((A161:A1159=$L161)*(B161:B1159="sterling silver hoop earrings")*(D161:D1159)*(E161:E1159)) / SUMIFS(E161:E1159, A161:A1159, $L161, B161:B1159, "sterling silver hoop earrings")</f>
        <v>0</v>
      </c>
      <c r="R161" s="7" t="e" cm="1">
        <f t="array" ref="R161">SUMPRODUCT((A161:A1159=$L161)*(B161:B1159="silver hoop earrings")*(D161:D1159)*(E161:E1159)) / SUMIFS(E161:E1159, A161:A1159, $L161, B161:B1159, "silver hoop earrings")</f>
        <v>#DIV/0!</v>
      </c>
      <c r="S161" s="7" t="e" cm="1">
        <f t="array" ref="S161">SUMPRODUCT((A161:A1159=$L161)*(B161:B1159="925 sterling silver earrings")*(D161:D1159)*(E161:E1159)) / SUMIFS(E161:E1159, A161:A1159, $L161, B161:B1159, "925 sterling silver earrings")</f>
        <v>#DIV/0!</v>
      </c>
      <c r="T161" s="7" t="e" cm="1">
        <f t="array" ref="T161">SUMPRODUCT((A161:A1159=$L161)*(B161:B1159="hoops")*(D161:D1159)*(E161:E1159)) / SUMIFS(E161:E1159, A161:A1159, $L161, B161:B1159, "hoops")</f>
        <v>#DIV/0!</v>
      </c>
      <c r="U161" s="7" t="e" cm="1">
        <f t="array" ref="U161">SUMPRODUCT((A161:A1159=$L161)*(B161:B1159="hoops earrings for women")*(D161:D1159)*(E161:E1159)) / SUMIFS(E161:E1159, A161:A1159, $L161, B161:B1159, "hoops earrings for women")</f>
        <v>#DIV/0!</v>
      </c>
      <c r="V161" s="7" t="e" cm="1">
        <f t="array" ref="V161">SUMPRODUCT((A161:A1159=$L161)*(B161:B1159="silver hoops earrings for women")*(D161:D1159)*(E161:E1159)) / SUMIFS(E161:E1159, A161:A1159, $L161, B161:B1159, "silver hoops earrings for women")</f>
        <v>#DIV/0!</v>
      </c>
    </row>
    <row r="162" spans="1:22" x14ac:dyDescent="0.2">
      <c r="A162">
        <v>20250305</v>
      </c>
      <c r="B162" t="s">
        <v>16</v>
      </c>
      <c r="C162" t="s">
        <v>28</v>
      </c>
      <c r="D162">
        <v>1</v>
      </c>
      <c r="E162">
        <v>21</v>
      </c>
      <c r="F162">
        <v>0</v>
      </c>
      <c r="G162">
        <v>0</v>
      </c>
      <c r="H162" s="1">
        <f t="shared" si="5"/>
        <v>45721</v>
      </c>
      <c r="I162">
        <f t="shared" si="6"/>
        <v>10</v>
      </c>
      <c r="L162" s="9" t="s">
        <v>203</v>
      </c>
      <c r="M162" cm="1">
        <f t="array" ref="M162">SUMPRODUCT((A162:A1160=$L162)*(B162:B1160="sterling silver earrings")*(D162:D1160)*(E162:E1160)) / SUMIFS(E162:E1160, A162:A1160, $L162, B162:B1160, "sterling silver earrings")</f>
        <v>0</v>
      </c>
      <c r="N162" s="7" cm="1">
        <f t="array" ref="N162">SUMPRODUCT((A162:A1160=$L162)*(B162:B1160="silver hoop earrings for women")*(D162:D1160)*(E162:E1160)) / SUMIFS(E162:E1160, A162:A1160, $L162, B162:B1160, "silver hoop earrings for women")</f>
        <v>0</v>
      </c>
      <c r="O162" s="7" cm="1">
        <f t="array" ref="O162">SUMPRODUCT((A162:A1160=$L162)*(B162:B1160="hoop earrings")*(D162:D1160)*(E162:E1160)) / SUMIFS(E162:E1160, A162:A1160, $L162, B162:B1160, "hoop earrings")</f>
        <v>0</v>
      </c>
      <c r="P162" s="7" t="e" cm="1">
        <f t="array" ref="P162">SUMPRODUCT((A162:A1160=$L162)*(B162:B1160="silver hoops")*(D162:D1160)*(E162:E1160)) / SUMIFS(E162:E1160, A162:A1160, $L162, B162:B1160, "silver hoops")</f>
        <v>#DIV/0!</v>
      </c>
      <c r="Q162" s="7" cm="1">
        <f t="array" ref="Q162">SUMPRODUCT((A162:A1160=$L162)*(B162:B1160="sterling silver hoop earrings")*(D162:D1160)*(E162:E1160)) / SUMIFS(E162:E1160, A162:A1160, $L162, B162:B1160, "sterling silver hoop earrings")</f>
        <v>0</v>
      </c>
      <c r="R162" s="7" t="e" cm="1">
        <f t="array" ref="R162">SUMPRODUCT((A162:A1160=$L162)*(B162:B1160="silver hoop earrings")*(D162:D1160)*(E162:E1160)) / SUMIFS(E162:E1160, A162:A1160, $L162, B162:B1160, "silver hoop earrings")</f>
        <v>#DIV/0!</v>
      </c>
      <c r="S162" s="7" t="e" cm="1">
        <f t="array" ref="S162">SUMPRODUCT((A162:A1160=$L162)*(B162:B1160="925 sterling silver earrings")*(D162:D1160)*(E162:E1160)) / SUMIFS(E162:E1160, A162:A1160, $L162, B162:B1160, "925 sterling silver earrings")</f>
        <v>#DIV/0!</v>
      </c>
      <c r="T162" s="7" t="e" cm="1">
        <f t="array" ref="T162">SUMPRODUCT((A162:A1160=$L162)*(B162:B1160="hoops")*(D162:D1160)*(E162:E1160)) / SUMIFS(E162:E1160, A162:A1160, $L162, B162:B1160, "hoops")</f>
        <v>#DIV/0!</v>
      </c>
      <c r="U162" s="7" t="e" cm="1">
        <f t="array" ref="U162">SUMPRODUCT((A162:A1160=$L162)*(B162:B1160="hoops earrings for women")*(D162:D1160)*(E162:E1160)) / SUMIFS(E162:E1160, A162:A1160, $L162, B162:B1160, "hoops earrings for women")</f>
        <v>#DIV/0!</v>
      </c>
      <c r="V162" s="7" cm="1">
        <f t="array" ref="V162">SUMPRODUCT((A162:A1160=$L162)*(B162:B1160="silver hoops earrings for women")*(D162:D1160)*(E162:E1160)) / SUMIFS(E162:E1160, A162:A1160, $L162, B162:B1160, "silver hoops earrings for women")</f>
        <v>0</v>
      </c>
    </row>
    <row r="163" spans="1:22" x14ac:dyDescent="0.2">
      <c r="A163">
        <v>20250307</v>
      </c>
      <c r="B163" t="s">
        <v>16</v>
      </c>
      <c r="C163" t="s">
        <v>25</v>
      </c>
      <c r="D163">
        <v>1</v>
      </c>
      <c r="E163">
        <v>45</v>
      </c>
      <c r="F163">
        <v>0</v>
      </c>
      <c r="G163">
        <v>0</v>
      </c>
      <c r="H163" s="1">
        <f t="shared" si="5"/>
        <v>45723</v>
      </c>
      <c r="I163">
        <f t="shared" si="6"/>
        <v>10</v>
      </c>
      <c r="L163" s="9" t="s">
        <v>204</v>
      </c>
      <c r="M163" cm="1">
        <f t="array" ref="M163">SUMPRODUCT((A163:A1161=$L163)*(B163:B1161="sterling silver earrings")*(D163:D1161)*(E163:E1161)) / SUMIFS(E163:E1161, A163:A1161, $L163, B163:B1161, "sterling silver earrings")</f>
        <v>0</v>
      </c>
      <c r="N163" s="7" cm="1">
        <f t="array" ref="N163">SUMPRODUCT((A163:A1161=$L163)*(B163:B1161="silver hoop earrings for women")*(D163:D1161)*(E163:E1161)) / SUMIFS(E163:E1161, A163:A1161, $L163, B163:B1161, "silver hoop earrings for women")</f>
        <v>0</v>
      </c>
      <c r="O163" s="7" cm="1">
        <f t="array" ref="O163">SUMPRODUCT((A163:A1161=$L163)*(B163:B1161="hoop earrings")*(D163:D1161)*(E163:E1161)) / SUMIFS(E163:E1161, A163:A1161, $L163, B163:B1161, "hoop earrings")</f>
        <v>0</v>
      </c>
      <c r="P163" s="7" t="e" cm="1">
        <f t="array" ref="P163">SUMPRODUCT((A163:A1161=$L163)*(B163:B1161="silver hoops")*(D163:D1161)*(E163:E1161)) / SUMIFS(E163:E1161, A163:A1161, $L163, B163:B1161, "silver hoops")</f>
        <v>#DIV/0!</v>
      </c>
      <c r="Q163" s="7" cm="1">
        <f t="array" ref="Q163">SUMPRODUCT((A163:A1161=$L163)*(B163:B1161="sterling silver hoop earrings")*(D163:D1161)*(E163:E1161)) / SUMIFS(E163:E1161, A163:A1161, $L163, B163:B1161, "sterling silver hoop earrings")</f>
        <v>0</v>
      </c>
      <c r="R163" s="7" t="e" cm="1">
        <f t="array" ref="R163">SUMPRODUCT((A163:A1161=$L163)*(B163:B1161="silver hoop earrings")*(D163:D1161)*(E163:E1161)) / SUMIFS(E163:E1161, A163:A1161, $L163, B163:B1161, "silver hoop earrings")</f>
        <v>#DIV/0!</v>
      </c>
      <c r="S163" s="7" cm="1">
        <f t="array" ref="S163">SUMPRODUCT((A163:A1161=$L163)*(B163:B1161="925 sterling silver earrings")*(D163:D1161)*(E163:E1161)) / SUMIFS(E163:E1161, A163:A1161, $L163, B163:B1161, "925 sterling silver earrings")</f>
        <v>0</v>
      </c>
      <c r="T163" s="7" t="e" cm="1">
        <f t="array" ref="T163">SUMPRODUCT((A163:A1161=$L163)*(B163:B1161="hoops")*(D163:D1161)*(E163:E1161)) / SUMIFS(E163:E1161, A163:A1161, $L163, B163:B1161, "hoops")</f>
        <v>#DIV/0!</v>
      </c>
      <c r="U163" s="7" t="e" cm="1">
        <f t="array" ref="U163">SUMPRODUCT((A163:A1161=$L163)*(B163:B1161="hoops earrings for women")*(D163:D1161)*(E163:E1161)) / SUMIFS(E163:E1161, A163:A1161, $L163, B163:B1161, "hoops earrings for women")</f>
        <v>#DIV/0!</v>
      </c>
      <c r="V163" s="7" t="e" cm="1">
        <f t="array" ref="V163">SUMPRODUCT((A163:A1161=$L163)*(B163:B1161="silver hoops earrings for women")*(D163:D1161)*(E163:E1161)) / SUMIFS(E163:E1161, A163:A1161, $L163, B163:B1161, "silver hoops earrings for women")</f>
        <v>#DIV/0!</v>
      </c>
    </row>
    <row r="164" spans="1:22" x14ac:dyDescent="0.2">
      <c r="A164">
        <v>20250307</v>
      </c>
      <c r="B164" t="s">
        <v>7</v>
      </c>
      <c r="C164" t="s">
        <v>8</v>
      </c>
      <c r="D164">
        <v>1</v>
      </c>
      <c r="E164">
        <v>36</v>
      </c>
      <c r="F164">
        <v>0</v>
      </c>
      <c r="G164">
        <v>0</v>
      </c>
      <c r="H164" s="1">
        <f t="shared" si="5"/>
        <v>45723</v>
      </c>
      <c r="I164">
        <f t="shared" si="6"/>
        <v>10</v>
      </c>
      <c r="L164" s="9" t="s">
        <v>205</v>
      </c>
      <c r="M164" cm="1">
        <f t="array" ref="M164">SUMPRODUCT((A164:A1162=$L164)*(B164:B1162="sterling silver earrings")*(D164:D1162)*(E164:E1162)) / SUMIFS(E164:E1162, A164:A1162, $L164, B164:B1162, "sterling silver earrings")</f>
        <v>0</v>
      </c>
      <c r="N164" s="7" cm="1">
        <f t="array" ref="N164">SUMPRODUCT((A164:A1162=$L164)*(B164:B1162="silver hoop earrings for women")*(D164:D1162)*(E164:E1162)) / SUMIFS(E164:E1162, A164:A1162, $L164, B164:B1162, "silver hoop earrings for women")</f>
        <v>0</v>
      </c>
      <c r="O164" s="7" cm="1">
        <f t="array" ref="O164">SUMPRODUCT((A164:A1162=$L164)*(B164:B1162="hoop earrings")*(D164:D1162)*(E164:E1162)) / SUMIFS(E164:E1162, A164:A1162, $L164, B164:B1162, "hoop earrings")</f>
        <v>0</v>
      </c>
      <c r="P164" s="7" cm="1">
        <f t="array" ref="P164">SUMPRODUCT((A164:A1162=$L164)*(B164:B1162="silver hoops")*(D164:D1162)*(E164:E1162)) / SUMIFS(E164:E1162, A164:A1162, $L164, B164:B1162, "silver hoops")</f>
        <v>0</v>
      </c>
      <c r="Q164" s="7" cm="1">
        <f t="array" ref="Q164">SUMPRODUCT((A164:A1162=$L164)*(B164:B1162="sterling silver hoop earrings")*(D164:D1162)*(E164:E1162)) / SUMIFS(E164:E1162, A164:A1162, $L164, B164:B1162, "sterling silver hoop earrings")</f>
        <v>0</v>
      </c>
      <c r="R164" s="7" cm="1">
        <f t="array" ref="R164">SUMPRODUCT((A164:A1162=$L164)*(B164:B1162="silver hoop earrings")*(D164:D1162)*(E164:E1162)) / SUMIFS(E164:E1162, A164:A1162, $L164, B164:B1162, "silver hoop earrings")</f>
        <v>0</v>
      </c>
      <c r="S164" s="7" t="e" cm="1">
        <f t="array" ref="S164">SUMPRODUCT((A164:A1162=$L164)*(B164:B1162="925 sterling silver earrings")*(D164:D1162)*(E164:E1162)) / SUMIFS(E164:E1162, A164:A1162, $L164, B164:B1162, "925 sterling silver earrings")</f>
        <v>#DIV/0!</v>
      </c>
      <c r="T164" s="7" t="e" cm="1">
        <f t="array" ref="T164">SUMPRODUCT((A164:A1162=$L164)*(B164:B1162="hoops")*(D164:D1162)*(E164:E1162)) / SUMIFS(E164:E1162, A164:A1162, $L164, B164:B1162, "hoops")</f>
        <v>#DIV/0!</v>
      </c>
      <c r="U164" s="7" t="e" cm="1">
        <f t="array" ref="U164">SUMPRODUCT((A164:A1162=$L164)*(B164:B1162="hoops earrings for women")*(D164:D1162)*(E164:E1162)) / SUMIFS(E164:E1162, A164:A1162, $L164, B164:B1162, "hoops earrings for women")</f>
        <v>#DIV/0!</v>
      </c>
      <c r="V164" s="7" t="e" cm="1">
        <f t="array" ref="V164">SUMPRODUCT((A164:A1162=$L164)*(B164:B1162="silver hoops earrings for women")*(D164:D1162)*(E164:E1162)) / SUMIFS(E164:E1162, A164:A1162, $L164, B164:B1162, "silver hoops earrings for women")</f>
        <v>#DIV/0!</v>
      </c>
    </row>
    <row r="165" spans="1:22" x14ac:dyDescent="0.2">
      <c r="A165">
        <v>20250307</v>
      </c>
      <c r="B165" t="s">
        <v>9</v>
      </c>
      <c r="C165" t="s">
        <v>8</v>
      </c>
      <c r="D165">
        <v>1</v>
      </c>
      <c r="E165">
        <v>73</v>
      </c>
      <c r="F165">
        <v>0</v>
      </c>
      <c r="G165">
        <v>0</v>
      </c>
      <c r="H165" s="1">
        <f t="shared" si="5"/>
        <v>45723</v>
      </c>
      <c r="I165">
        <f t="shared" si="6"/>
        <v>10</v>
      </c>
      <c r="L165" s="9" t="s">
        <v>206</v>
      </c>
      <c r="M165" cm="1">
        <f t="array" ref="M165">SUMPRODUCT((A165:A1163=$L165)*(B165:B1163="sterling silver earrings")*(D165:D1163)*(E165:E1163)) / SUMIFS(E165:E1163, A165:A1163, $L165, B165:B1163, "sterling silver earrings")</f>
        <v>0</v>
      </c>
      <c r="N165" s="7" cm="1">
        <f t="array" ref="N165">SUMPRODUCT((A165:A1163=$L165)*(B165:B1163="silver hoop earrings for women")*(D165:D1163)*(E165:E1163)) / SUMIFS(E165:E1163, A165:A1163, $L165, B165:B1163, "silver hoop earrings for women")</f>
        <v>0</v>
      </c>
      <c r="O165" s="7" cm="1">
        <f t="array" ref="O165">SUMPRODUCT((A165:A1163=$L165)*(B165:B1163="hoop earrings")*(D165:D1163)*(E165:E1163)) / SUMIFS(E165:E1163, A165:A1163, $L165, B165:B1163, "hoop earrings")</f>
        <v>0</v>
      </c>
      <c r="P165" s="7" cm="1">
        <f t="array" ref="P165">SUMPRODUCT((A165:A1163=$L165)*(B165:B1163="silver hoops")*(D165:D1163)*(E165:E1163)) / SUMIFS(E165:E1163, A165:A1163, $L165, B165:B1163, "silver hoops")</f>
        <v>0</v>
      </c>
      <c r="Q165" s="7" cm="1">
        <f t="array" ref="Q165">SUMPRODUCT((A165:A1163=$L165)*(B165:B1163="sterling silver hoop earrings")*(D165:D1163)*(E165:E1163)) / SUMIFS(E165:E1163, A165:A1163, $L165, B165:B1163, "sterling silver hoop earrings")</f>
        <v>0</v>
      </c>
      <c r="R165" s="7" t="e" cm="1">
        <f t="array" ref="R165">SUMPRODUCT((A165:A1163=$L165)*(B165:B1163="silver hoop earrings")*(D165:D1163)*(E165:E1163)) / SUMIFS(E165:E1163, A165:A1163, $L165, B165:B1163, "silver hoop earrings")</f>
        <v>#DIV/0!</v>
      </c>
      <c r="S165" s="7" t="e" cm="1">
        <f t="array" ref="S165">SUMPRODUCT((A165:A1163=$L165)*(B165:B1163="925 sterling silver earrings")*(D165:D1163)*(E165:E1163)) / SUMIFS(E165:E1163, A165:A1163, $L165, B165:B1163, "925 sterling silver earrings")</f>
        <v>#DIV/0!</v>
      </c>
      <c r="T165" s="7" t="e" cm="1">
        <f t="array" ref="T165">SUMPRODUCT((A165:A1163=$L165)*(B165:B1163="hoops")*(D165:D1163)*(E165:E1163)) / SUMIFS(E165:E1163, A165:A1163, $L165, B165:B1163, "hoops")</f>
        <v>#DIV/0!</v>
      </c>
      <c r="U165" s="7" t="e" cm="1">
        <f t="array" ref="U165">SUMPRODUCT((A165:A1163=$L165)*(B165:B1163="hoops earrings for women")*(D165:D1163)*(E165:E1163)) / SUMIFS(E165:E1163, A165:A1163, $L165, B165:B1163, "hoops earrings for women")</f>
        <v>#DIV/0!</v>
      </c>
      <c r="V165" s="7" cm="1">
        <f t="array" ref="V165">SUMPRODUCT((A165:A1163=$L165)*(B165:B1163="silver hoops earrings for women")*(D165:D1163)*(E165:E1163)) / SUMIFS(E165:E1163, A165:A1163, $L165, B165:B1163, "silver hoops earrings for women")</f>
        <v>0</v>
      </c>
    </row>
    <row r="166" spans="1:22" x14ac:dyDescent="0.2">
      <c r="A166">
        <v>20250308</v>
      </c>
      <c r="B166" t="s">
        <v>9</v>
      </c>
      <c r="C166" t="s">
        <v>8</v>
      </c>
      <c r="D166">
        <v>1</v>
      </c>
      <c r="E166">
        <v>35</v>
      </c>
      <c r="F166">
        <v>0</v>
      </c>
      <c r="G166">
        <v>0</v>
      </c>
      <c r="H166" s="1">
        <f t="shared" si="5"/>
        <v>45724</v>
      </c>
      <c r="I166">
        <f t="shared" si="6"/>
        <v>10</v>
      </c>
      <c r="L166" s="9" t="s">
        <v>207</v>
      </c>
      <c r="M166" cm="1">
        <f t="array" ref="M166">SUMPRODUCT((A166:A1164=$L166)*(B166:B1164="sterling silver earrings")*(D166:D1164)*(E166:E1164)) / SUMIFS(E166:E1164, A166:A1164, $L166, B166:B1164, "sterling silver earrings")</f>
        <v>0</v>
      </c>
      <c r="N166" s="7" cm="1">
        <f t="array" ref="N166">SUMPRODUCT((A166:A1164=$L166)*(B166:B1164="silver hoop earrings for women")*(D166:D1164)*(E166:E1164)) / SUMIFS(E166:E1164, A166:A1164, $L166, B166:B1164, "silver hoop earrings for women")</f>
        <v>0</v>
      </c>
      <c r="O166" s="7" cm="1">
        <f t="array" ref="O166">SUMPRODUCT((A166:A1164=$L166)*(B166:B1164="hoop earrings")*(D166:D1164)*(E166:E1164)) / SUMIFS(E166:E1164, A166:A1164, $L166, B166:B1164, "hoop earrings")</f>
        <v>0</v>
      </c>
      <c r="P166" s="7" cm="1">
        <f t="array" ref="P166">SUMPRODUCT((A166:A1164=$L166)*(B166:B1164="silver hoops")*(D166:D1164)*(E166:E1164)) / SUMIFS(E166:E1164, A166:A1164, $L166, B166:B1164, "silver hoops")</f>
        <v>0</v>
      </c>
      <c r="Q166" s="7" cm="1">
        <f t="array" ref="Q166">SUMPRODUCT((A166:A1164=$L166)*(B166:B1164="sterling silver hoop earrings")*(D166:D1164)*(E166:E1164)) / SUMIFS(E166:E1164, A166:A1164, $L166, B166:B1164, "sterling silver hoop earrings")</f>
        <v>0</v>
      </c>
      <c r="R166" s="7" cm="1">
        <f t="array" ref="R166">SUMPRODUCT((A166:A1164=$L166)*(B166:B1164="silver hoop earrings")*(D166:D1164)*(E166:E1164)) / SUMIFS(E166:E1164, A166:A1164, $L166, B166:B1164, "silver hoop earrings")</f>
        <v>0</v>
      </c>
      <c r="S166" s="7" t="e" cm="1">
        <f t="array" ref="S166">SUMPRODUCT((A166:A1164=$L166)*(B166:B1164="925 sterling silver earrings")*(D166:D1164)*(E166:E1164)) / SUMIFS(E166:E1164, A166:A1164, $L166, B166:B1164, "925 sterling silver earrings")</f>
        <v>#DIV/0!</v>
      </c>
      <c r="T166" s="7" t="e" cm="1">
        <f t="array" ref="T166">SUMPRODUCT((A166:A1164=$L166)*(B166:B1164="hoops")*(D166:D1164)*(E166:E1164)) / SUMIFS(E166:E1164, A166:A1164, $L166, B166:B1164, "hoops")</f>
        <v>#DIV/0!</v>
      </c>
      <c r="U166" s="7" t="e" cm="1">
        <f t="array" ref="U166">SUMPRODUCT((A166:A1164=$L166)*(B166:B1164="hoops earrings for women")*(D166:D1164)*(E166:E1164)) / SUMIFS(E166:E1164, A166:A1164, $L166, B166:B1164, "hoops earrings for women")</f>
        <v>#DIV/0!</v>
      </c>
      <c r="V166" s="7" t="e" cm="1">
        <f t="array" ref="V166">SUMPRODUCT((A166:A1164=$L166)*(B166:B1164="silver hoops earrings for women")*(D166:D1164)*(E166:E1164)) / SUMIFS(E166:E1164, A166:A1164, $L166, B166:B1164, "silver hoops earrings for women")</f>
        <v>#DIV/0!</v>
      </c>
    </row>
    <row r="167" spans="1:22" x14ac:dyDescent="0.2">
      <c r="A167">
        <v>20250308</v>
      </c>
      <c r="B167" t="s">
        <v>9</v>
      </c>
      <c r="C167" t="s">
        <v>13</v>
      </c>
      <c r="D167">
        <v>1</v>
      </c>
      <c r="E167">
        <v>2</v>
      </c>
      <c r="F167">
        <v>0</v>
      </c>
      <c r="G167">
        <v>0</v>
      </c>
      <c r="H167" s="1">
        <f t="shared" si="5"/>
        <v>45724</v>
      </c>
      <c r="I167">
        <f t="shared" si="6"/>
        <v>10</v>
      </c>
      <c r="L167" s="9" t="s">
        <v>208</v>
      </c>
      <c r="M167" cm="1">
        <f t="array" ref="M167">SUMPRODUCT((A167:A1165=$L167)*(B167:B1165="sterling silver earrings")*(D167:D1165)*(E167:E1165)) / SUMIFS(E167:E1165, A167:A1165, $L167, B167:B1165, "sterling silver earrings")</f>
        <v>0</v>
      </c>
      <c r="N167" s="7" cm="1">
        <f t="array" ref="N167">SUMPRODUCT((A167:A1165=$L167)*(B167:B1165="silver hoop earrings for women")*(D167:D1165)*(E167:E1165)) / SUMIFS(E167:E1165, A167:A1165, $L167, B167:B1165, "silver hoop earrings for women")</f>
        <v>0</v>
      </c>
      <c r="O167" s="7" cm="1">
        <f t="array" ref="O167">SUMPRODUCT((A167:A1165=$L167)*(B167:B1165="hoop earrings")*(D167:D1165)*(E167:E1165)) / SUMIFS(E167:E1165, A167:A1165, $L167, B167:B1165, "hoop earrings")</f>
        <v>0</v>
      </c>
      <c r="P167" s="7" t="e" cm="1">
        <f t="array" ref="P167">SUMPRODUCT((A167:A1165=$L167)*(B167:B1165="silver hoops")*(D167:D1165)*(E167:E1165)) / SUMIFS(E167:E1165, A167:A1165, $L167, B167:B1165, "silver hoops")</f>
        <v>#DIV/0!</v>
      </c>
      <c r="Q167" s="7" cm="1">
        <f t="array" ref="Q167">SUMPRODUCT((A167:A1165=$L167)*(B167:B1165="sterling silver hoop earrings")*(D167:D1165)*(E167:E1165)) / SUMIFS(E167:E1165, A167:A1165, $L167, B167:B1165, "sterling silver hoop earrings")</f>
        <v>0</v>
      </c>
      <c r="R167" s="7" t="e" cm="1">
        <f t="array" ref="R167">SUMPRODUCT((A167:A1165=$L167)*(B167:B1165="silver hoop earrings")*(D167:D1165)*(E167:E1165)) / SUMIFS(E167:E1165, A167:A1165, $L167, B167:B1165, "silver hoop earrings")</f>
        <v>#DIV/0!</v>
      </c>
      <c r="S167" s="7" t="e" cm="1">
        <f t="array" ref="S167">SUMPRODUCT((A167:A1165=$L167)*(B167:B1165="925 sterling silver earrings")*(D167:D1165)*(E167:E1165)) / SUMIFS(E167:E1165, A167:A1165, $L167, B167:B1165, "925 sterling silver earrings")</f>
        <v>#DIV/0!</v>
      </c>
      <c r="T167" s="7" t="e" cm="1">
        <f t="array" ref="T167">SUMPRODUCT((A167:A1165=$L167)*(B167:B1165="hoops")*(D167:D1165)*(E167:E1165)) / SUMIFS(E167:E1165, A167:A1165, $L167, B167:B1165, "hoops")</f>
        <v>#DIV/0!</v>
      </c>
      <c r="U167" s="7" t="e" cm="1">
        <f t="array" ref="U167">SUMPRODUCT((A167:A1165=$L167)*(B167:B1165="hoops earrings for women")*(D167:D1165)*(E167:E1165)) / SUMIFS(E167:E1165, A167:A1165, $L167, B167:B1165, "hoops earrings for women")</f>
        <v>#DIV/0!</v>
      </c>
      <c r="V167" s="7" cm="1">
        <f t="array" ref="V167">SUMPRODUCT((A167:A1165=$L167)*(B167:B1165="silver hoops earrings for women")*(D167:D1165)*(E167:E1165)) / SUMIFS(E167:E1165, A167:A1165, $L167, B167:B1165, "silver hoops earrings for women")</f>
        <v>0</v>
      </c>
    </row>
    <row r="168" spans="1:22" x14ac:dyDescent="0.2">
      <c r="A168">
        <v>20250309</v>
      </c>
      <c r="B168" t="s">
        <v>7</v>
      </c>
      <c r="C168" t="s">
        <v>8</v>
      </c>
      <c r="D168">
        <v>1</v>
      </c>
      <c r="E168">
        <v>21</v>
      </c>
      <c r="F168">
        <v>0</v>
      </c>
      <c r="G168">
        <v>0</v>
      </c>
      <c r="H168" s="1">
        <f t="shared" si="5"/>
        <v>45725</v>
      </c>
      <c r="I168">
        <f t="shared" si="6"/>
        <v>11</v>
      </c>
      <c r="L168" s="9" t="s">
        <v>209</v>
      </c>
      <c r="M168" cm="1">
        <f t="array" ref="M168">SUMPRODUCT((A168:A1166=$L168)*(B168:B1166="sterling silver earrings")*(D168:D1166)*(E168:E1166)) / SUMIFS(E168:E1166, A168:A1166, $L168, B168:B1166, "sterling silver earrings")</f>
        <v>0</v>
      </c>
      <c r="N168" s="7" cm="1">
        <f t="array" ref="N168">SUMPRODUCT((A168:A1166=$L168)*(B168:B1166="silver hoop earrings for women")*(D168:D1166)*(E168:E1166)) / SUMIFS(E168:E1166, A168:A1166, $L168, B168:B1166, "silver hoop earrings for women")</f>
        <v>0</v>
      </c>
      <c r="O168" s="7" cm="1">
        <f t="array" ref="O168">SUMPRODUCT((A168:A1166=$L168)*(B168:B1166="hoop earrings")*(D168:D1166)*(E168:E1166)) / SUMIFS(E168:E1166, A168:A1166, $L168, B168:B1166, "hoop earrings")</f>
        <v>0</v>
      </c>
      <c r="P168" s="7" t="e" cm="1">
        <f t="array" ref="P168">SUMPRODUCT((A168:A1166=$L168)*(B168:B1166="silver hoops")*(D168:D1166)*(E168:E1166)) / SUMIFS(E168:E1166, A168:A1166, $L168, B168:B1166, "silver hoops")</f>
        <v>#DIV/0!</v>
      </c>
      <c r="Q168" s="7" cm="1">
        <f t="array" ref="Q168">SUMPRODUCT((A168:A1166=$L168)*(B168:B1166="sterling silver hoop earrings")*(D168:D1166)*(E168:E1166)) / SUMIFS(E168:E1166, A168:A1166, $L168, B168:B1166, "sterling silver hoop earrings")</f>
        <v>0</v>
      </c>
      <c r="R168" s="7" t="e" cm="1">
        <f t="array" ref="R168">SUMPRODUCT((A168:A1166=$L168)*(B168:B1166="silver hoop earrings")*(D168:D1166)*(E168:E1166)) / SUMIFS(E168:E1166, A168:A1166, $L168, B168:B1166, "silver hoop earrings")</f>
        <v>#DIV/0!</v>
      </c>
      <c r="S168" s="7" t="e" cm="1">
        <f t="array" ref="S168">SUMPRODUCT((A168:A1166=$L168)*(B168:B1166="925 sterling silver earrings")*(D168:D1166)*(E168:E1166)) / SUMIFS(E168:E1166, A168:A1166, $L168, B168:B1166, "925 sterling silver earrings")</f>
        <v>#DIV/0!</v>
      </c>
      <c r="T168" s="7" t="e" cm="1">
        <f t="array" ref="T168">SUMPRODUCT((A168:A1166=$L168)*(B168:B1166="hoops")*(D168:D1166)*(E168:E1166)) / SUMIFS(E168:E1166, A168:A1166, $L168, B168:B1166, "hoops")</f>
        <v>#DIV/0!</v>
      </c>
      <c r="U168" s="7" t="e" cm="1">
        <f t="array" ref="U168">SUMPRODUCT((A168:A1166=$L168)*(B168:B1166="hoops earrings for women")*(D168:D1166)*(E168:E1166)) / SUMIFS(E168:E1166, A168:A1166, $L168, B168:B1166, "hoops earrings for women")</f>
        <v>#DIV/0!</v>
      </c>
      <c r="V168" s="7" cm="1">
        <f t="array" ref="V168">SUMPRODUCT((A168:A1166=$L168)*(B168:B1166="silver hoops earrings for women")*(D168:D1166)*(E168:E1166)) / SUMIFS(E168:E1166, A168:A1166, $L168, B168:B1166, "silver hoops earrings for women")</f>
        <v>0</v>
      </c>
    </row>
    <row r="169" spans="1:22" x14ac:dyDescent="0.2">
      <c r="A169">
        <v>20250309</v>
      </c>
      <c r="B169" t="s">
        <v>14</v>
      </c>
      <c r="C169" t="s">
        <v>13</v>
      </c>
      <c r="D169">
        <v>1</v>
      </c>
      <c r="E169">
        <v>37</v>
      </c>
      <c r="F169">
        <v>0</v>
      </c>
      <c r="G169">
        <v>0</v>
      </c>
      <c r="H169" s="1">
        <f t="shared" si="5"/>
        <v>45725</v>
      </c>
      <c r="I169">
        <f t="shared" si="6"/>
        <v>11</v>
      </c>
      <c r="L169" s="9" t="s">
        <v>210</v>
      </c>
      <c r="M169" cm="1">
        <f t="array" ref="M169">SUMPRODUCT((A169:A1167=$L169)*(B169:B1167="sterling silver earrings")*(D169:D1167)*(E169:E1167)) / SUMIFS(E169:E1167, A169:A1167, $L169, B169:B1167, "sterling silver earrings")</f>
        <v>0</v>
      </c>
      <c r="N169" s="7" cm="1">
        <f t="array" ref="N169">SUMPRODUCT((A169:A1167=$L169)*(B169:B1167="silver hoop earrings for women")*(D169:D1167)*(E169:E1167)) / SUMIFS(E169:E1167, A169:A1167, $L169, B169:B1167, "silver hoop earrings for women")</f>
        <v>0</v>
      </c>
      <c r="O169" s="7" cm="1">
        <f t="array" ref="O169">SUMPRODUCT((A169:A1167=$L169)*(B169:B1167="hoop earrings")*(D169:D1167)*(E169:E1167)) / SUMIFS(E169:E1167, A169:A1167, $L169, B169:B1167, "hoop earrings")</f>
        <v>0</v>
      </c>
      <c r="P169" s="7" t="e" cm="1">
        <f t="array" ref="P169">SUMPRODUCT((A169:A1167=$L169)*(B169:B1167="silver hoops")*(D169:D1167)*(E169:E1167)) / SUMIFS(E169:E1167, A169:A1167, $L169, B169:B1167, "silver hoops")</f>
        <v>#DIV/0!</v>
      </c>
      <c r="Q169" s="7" cm="1">
        <f t="array" ref="Q169">SUMPRODUCT((A169:A1167=$L169)*(B169:B1167="sterling silver hoop earrings")*(D169:D1167)*(E169:E1167)) / SUMIFS(E169:E1167, A169:A1167, $L169, B169:B1167, "sterling silver hoop earrings")</f>
        <v>0</v>
      </c>
      <c r="R169" s="7" t="e" cm="1">
        <f t="array" ref="R169">SUMPRODUCT((A169:A1167=$L169)*(B169:B1167="silver hoop earrings")*(D169:D1167)*(E169:E1167)) / SUMIFS(E169:E1167, A169:A1167, $L169, B169:B1167, "silver hoop earrings")</f>
        <v>#DIV/0!</v>
      </c>
      <c r="S169" s="7" t="e" cm="1">
        <f t="array" ref="S169">SUMPRODUCT((A169:A1167=$L169)*(B169:B1167="925 sterling silver earrings")*(D169:D1167)*(E169:E1167)) / SUMIFS(E169:E1167, A169:A1167, $L169, B169:B1167, "925 sterling silver earrings")</f>
        <v>#DIV/0!</v>
      </c>
      <c r="T169" s="7" t="e" cm="1">
        <f t="array" ref="T169">SUMPRODUCT((A169:A1167=$L169)*(B169:B1167="hoops")*(D169:D1167)*(E169:E1167)) / SUMIFS(E169:E1167, A169:A1167, $L169, B169:B1167, "hoops")</f>
        <v>#DIV/0!</v>
      </c>
      <c r="U169" s="7" t="e" cm="1">
        <f t="array" ref="U169">SUMPRODUCT((A169:A1167=$L169)*(B169:B1167="hoops earrings for women")*(D169:D1167)*(E169:E1167)) / SUMIFS(E169:E1167, A169:A1167, $L169, B169:B1167, "hoops earrings for women")</f>
        <v>#DIV/0!</v>
      </c>
      <c r="V169" s="7" t="e" cm="1">
        <f t="array" ref="V169">SUMPRODUCT((A169:A1167=$L169)*(B169:B1167="silver hoops earrings for women")*(D169:D1167)*(E169:E1167)) / SUMIFS(E169:E1167, A169:A1167, $L169, B169:B1167, "silver hoops earrings for women")</f>
        <v>#DIV/0!</v>
      </c>
    </row>
    <row r="170" spans="1:22" x14ac:dyDescent="0.2">
      <c r="A170">
        <v>20250310</v>
      </c>
      <c r="B170" t="s">
        <v>7</v>
      </c>
      <c r="C170" t="s">
        <v>8</v>
      </c>
      <c r="D170">
        <v>6</v>
      </c>
      <c r="E170">
        <v>62</v>
      </c>
      <c r="F170">
        <v>0</v>
      </c>
      <c r="G170">
        <v>0</v>
      </c>
      <c r="H170" s="1">
        <f t="shared" si="5"/>
        <v>45726</v>
      </c>
      <c r="I170">
        <f t="shared" si="6"/>
        <v>11</v>
      </c>
      <c r="L170" s="9" t="s">
        <v>211</v>
      </c>
      <c r="M170" cm="1">
        <f t="array" ref="M170">SUMPRODUCT((A170:A1168=$L170)*(B170:B1168="sterling silver earrings")*(D170:D1168)*(E170:E1168)) / SUMIFS(E170:E1168, A170:A1168, $L170, B170:B1168, "sterling silver earrings")</f>
        <v>0</v>
      </c>
      <c r="N170" s="7" cm="1">
        <f t="array" ref="N170">SUMPRODUCT((A170:A1168=$L170)*(B170:B1168="silver hoop earrings for women")*(D170:D1168)*(E170:E1168)) / SUMIFS(E170:E1168, A170:A1168, $L170, B170:B1168, "silver hoop earrings for women")</f>
        <v>0</v>
      </c>
      <c r="O170" s="7" cm="1">
        <f t="array" ref="O170">SUMPRODUCT((A170:A1168=$L170)*(B170:B1168="hoop earrings")*(D170:D1168)*(E170:E1168)) / SUMIFS(E170:E1168, A170:A1168, $L170, B170:B1168, "hoop earrings")</f>
        <v>0</v>
      </c>
      <c r="P170" s="7" t="e" cm="1">
        <f t="array" ref="P170">SUMPRODUCT((A170:A1168=$L170)*(B170:B1168="silver hoops")*(D170:D1168)*(E170:E1168)) / SUMIFS(E170:E1168, A170:A1168, $L170, B170:B1168, "silver hoops")</f>
        <v>#DIV/0!</v>
      </c>
      <c r="Q170" s="7" cm="1">
        <f t="array" ref="Q170">SUMPRODUCT((A170:A1168=$L170)*(B170:B1168="sterling silver hoop earrings")*(D170:D1168)*(E170:E1168)) / SUMIFS(E170:E1168, A170:A1168, $L170, B170:B1168, "sterling silver hoop earrings")</f>
        <v>0</v>
      </c>
      <c r="R170" s="7" t="e" cm="1">
        <f t="array" ref="R170">SUMPRODUCT((A170:A1168=$L170)*(B170:B1168="silver hoop earrings")*(D170:D1168)*(E170:E1168)) / SUMIFS(E170:E1168, A170:A1168, $L170, B170:B1168, "silver hoop earrings")</f>
        <v>#DIV/0!</v>
      </c>
      <c r="S170" s="7" t="e" cm="1">
        <f t="array" ref="S170">SUMPRODUCT((A170:A1168=$L170)*(B170:B1168="925 sterling silver earrings")*(D170:D1168)*(E170:E1168)) / SUMIFS(E170:E1168, A170:A1168, $L170, B170:B1168, "925 sterling silver earrings")</f>
        <v>#DIV/0!</v>
      </c>
      <c r="T170" s="7" t="e" cm="1">
        <f t="array" ref="T170">SUMPRODUCT((A170:A1168=$L170)*(B170:B1168="hoops")*(D170:D1168)*(E170:E1168)) / SUMIFS(E170:E1168, A170:A1168, $L170, B170:B1168, "hoops")</f>
        <v>#DIV/0!</v>
      </c>
      <c r="U170" s="7" t="e" cm="1">
        <f t="array" ref="U170">SUMPRODUCT((A170:A1168=$L170)*(B170:B1168="hoops earrings for women")*(D170:D1168)*(E170:E1168)) / SUMIFS(E170:E1168, A170:A1168, $L170, B170:B1168, "hoops earrings for women")</f>
        <v>#DIV/0!</v>
      </c>
      <c r="V170" s="7" t="e" cm="1">
        <f t="array" ref="V170">SUMPRODUCT((A170:A1168=$L170)*(B170:B1168="silver hoops earrings for women")*(D170:D1168)*(E170:E1168)) / SUMIFS(E170:E1168, A170:A1168, $L170, B170:B1168, "silver hoops earrings for women")</f>
        <v>#DIV/0!</v>
      </c>
    </row>
    <row r="171" spans="1:22" x14ac:dyDescent="0.2">
      <c r="A171">
        <v>20250310</v>
      </c>
      <c r="B171" t="s">
        <v>9</v>
      </c>
      <c r="C171" t="s">
        <v>13</v>
      </c>
      <c r="D171">
        <v>1</v>
      </c>
      <c r="E171">
        <v>1</v>
      </c>
      <c r="F171">
        <v>0</v>
      </c>
      <c r="G171">
        <v>0</v>
      </c>
      <c r="H171" s="1">
        <f t="shared" si="5"/>
        <v>45726</v>
      </c>
      <c r="I171">
        <f t="shared" si="6"/>
        <v>11</v>
      </c>
      <c r="L171" s="9" t="s">
        <v>212</v>
      </c>
      <c r="M171" t="e" cm="1">
        <f t="array" ref="M171">SUMPRODUCT((A171:A1169=$L171)*(B171:B1169="sterling silver earrings")*(D171:D1169)*(E171:E1169)) / SUMIFS(E171:E1169, A171:A1169, $L171, B171:B1169, "sterling silver earrings")</f>
        <v>#DIV/0!</v>
      </c>
      <c r="N171" s="7" t="e" cm="1">
        <f t="array" ref="N171">SUMPRODUCT((A171:A1169=$L171)*(B171:B1169="silver hoop earrings for women")*(D171:D1169)*(E171:E1169)) / SUMIFS(E171:E1169, A171:A1169, $L171, B171:B1169, "silver hoop earrings for women")</f>
        <v>#DIV/0!</v>
      </c>
      <c r="O171" s="7" cm="1">
        <f t="array" ref="O171">SUMPRODUCT((A171:A1169=$L171)*(B171:B1169="hoop earrings")*(D171:D1169)*(E171:E1169)) / SUMIFS(E171:E1169, A171:A1169, $L171, B171:B1169, "hoop earrings")</f>
        <v>0</v>
      </c>
      <c r="P171" s="7" t="e" cm="1">
        <f t="array" ref="P171">SUMPRODUCT((A171:A1169=$L171)*(B171:B1169="silver hoops")*(D171:D1169)*(E171:E1169)) / SUMIFS(E171:E1169, A171:A1169, $L171, B171:B1169, "silver hoops")</f>
        <v>#DIV/0!</v>
      </c>
      <c r="Q171" s="7" cm="1">
        <f t="array" ref="Q171">SUMPRODUCT((A171:A1169=$L171)*(B171:B1169="sterling silver hoop earrings")*(D171:D1169)*(E171:E1169)) / SUMIFS(E171:E1169, A171:A1169, $L171, B171:B1169, "sterling silver hoop earrings")</f>
        <v>0</v>
      </c>
      <c r="R171" s="7" t="e" cm="1">
        <f t="array" ref="R171">SUMPRODUCT((A171:A1169=$L171)*(B171:B1169="silver hoop earrings")*(D171:D1169)*(E171:E1169)) / SUMIFS(E171:E1169, A171:A1169, $L171, B171:B1169, "silver hoop earrings")</f>
        <v>#DIV/0!</v>
      </c>
      <c r="S171" s="7" t="e" cm="1">
        <f t="array" ref="S171">SUMPRODUCT((A171:A1169=$L171)*(B171:B1169="925 sterling silver earrings")*(D171:D1169)*(E171:E1169)) / SUMIFS(E171:E1169, A171:A1169, $L171, B171:B1169, "925 sterling silver earrings")</f>
        <v>#DIV/0!</v>
      </c>
      <c r="T171" s="7" t="e" cm="1">
        <f t="array" ref="T171">SUMPRODUCT((A171:A1169=$L171)*(B171:B1169="hoops")*(D171:D1169)*(E171:E1169)) / SUMIFS(E171:E1169, A171:A1169, $L171, B171:B1169, "hoops")</f>
        <v>#DIV/0!</v>
      </c>
      <c r="U171" s="7" t="e" cm="1">
        <f t="array" ref="U171">SUMPRODUCT((A171:A1169=$L171)*(B171:B1169="hoops earrings for women")*(D171:D1169)*(E171:E1169)) / SUMIFS(E171:E1169, A171:A1169, $L171, B171:B1169, "hoops earrings for women")</f>
        <v>#DIV/0!</v>
      </c>
      <c r="V171" s="7" t="e" cm="1">
        <f t="array" ref="V171">SUMPRODUCT((A171:A1169=$L171)*(B171:B1169="silver hoops earrings for women")*(D171:D1169)*(E171:E1169)) / SUMIFS(E171:E1169, A171:A1169, $L171, B171:B1169, "silver hoops earrings for women")</f>
        <v>#DIV/0!</v>
      </c>
    </row>
    <row r="172" spans="1:22" x14ac:dyDescent="0.2">
      <c r="A172">
        <v>20250311</v>
      </c>
      <c r="B172" t="s">
        <v>16</v>
      </c>
      <c r="C172" t="s">
        <v>8</v>
      </c>
      <c r="D172">
        <v>1</v>
      </c>
      <c r="E172">
        <v>15</v>
      </c>
      <c r="F172">
        <v>0</v>
      </c>
      <c r="G172">
        <v>0</v>
      </c>
      <c r="H172" s="1">
        <f t="shared" si="5"/>
        <v>45727</v>
      </c>
      <c r="I172">
        <f t="shared" si="6"/>
        <v>11</v>
      </c>
      <c r="L172" s="9" t="s">
        <v>213</v>
      </c>
      <c r="M172" t="e" cm="1">
        <f t="array" ref="M172">SUMPRODUCT((A172:A1170=$L172)*(B172:B1170="sterling silver earrings")*(D172:D1170)*(E172:E1170)) / SUMIFS(E172:E1170, A172:A1170, $L172, B172:B1170, "sterling silver earrings")</f>
        <v>#DIV/0!</v>
      </c>
      <c r="N172" s="7" cm="1">
        <f t="array" ref="N172">SUMPRODUCT((A172:A1170=$L172)*(B172:B1170="silver hoop earrings for women")*(D172:D1170)*(E172:E1170)) / SUMIFS(E172:E1170, A172:A1170, $L172, B172:B1170, "silver hoop earrings for women")</f>
        <v>0</v>
      </c>
      <c r="O172" s="7" t="e" cm="1">
        <f t="array" ref="O172">SUMPRODUCT((A172:A1170=$L172)*(B172:B1170="hoop earrings")*(D172:D1170)*(E172:E1170)) / SUMIFS(E172:E1170, A172:A1170, $L172, B172:B1170, "hoop earrings")</f>
        <v>#DIV/0!</v>
      </c>
      <c r="P172" s="7" t="e" cm="1">
        <f t="array" ref="P172">SUMPRODUCT((A172:A1170=$L172)*(B172:B1170="silver hoops")*(D172:D1170)*(E172:E1170)) / SUMIFS(E172:E1170, A172:A1170, $L172, B172:B1170, "silver hoops")</f>
        <v>#DIV/0!</v>
      </c>
      <c r="Q172" s="7" cm="1">
        <f t="array" ref="Q172">SUMPRODUCT((A172:A1170=$L172)*(B172:B1170="sterling silver hoop earrings")*(D172:D1170)*(E172:E1170)) / SUMIFS(E172:E1170, A172:A1170, $L172, B172:B1170, "sterling silver hoop earrings")</f>
        <v>0</v>
      </c>
      <c r="R172" s="7" t="e" cm="1">
        <f t="array" ref="R172">SUMPRODUCT((A172:A1170=$L172)*(B172:B1170="silver hoop earrings")*(D172:D1170)*(E172:E1170)) / SUMIFS(E172:E1170, A172:A1170, $L172, B172:B1170, "silver hoop earrings")</f>
        <v>#DIV/0!</v>
      </c>
      <c r="S172" s="7" t="e" cm="1">
        <f t="array" ref="S172">SUMPRODUCT((A172:A1170=$L172)*(B172:B1170="925 sterling silver earrings")*(D172:D1170)*(E172:E1170)) / SUMIFS(E172:E1170, A172:A1170, $L172, B172:B1170, "925 sterling silver earrings")</f>
        <v>#DIV/0!</v>
      </c>
      <c r="T172" s="7" t="e" cm="1">
        <f t="array" ref="T172">SUMPRODUCT((A172:A1170=$L172)*(B172:B1170="hoops")*(D172:D1170)*(E172:E1170)) / SUMIFS(E172:E1170, A172:A1170, $L172, B172:B1170, "hoops")</f>
        <v>#DIV/0!</v>
      </c>
      <c r="U172" s="7" t="e" cm="1">
        <f t="array" ref="U172">SUMPRODUCT((A172:A1170=$L172)*(B172:B1170="hoops earrings for women")*(D172:D1170)*(E172:E1170)) / SUMIFS(E172:E1170, A172:A1170, $L172, B172:B1170, "hoops earrings for women")</f>
        <v>#DIV/0!</v>
      </c>
      <c r="V172" s="7" t="e" cm="1">
        <f t="array" ref="V172">SUMPRODUCT((A172:A1170=$L172)*(B172:B1170="silver hoops earrings for women")*(D172:D1170)*(E172:E1170)) / SUMIFS(E172:E1170, A172:A1170, $L172, B172:B1170, "silver hoops earrings for women")</f>
        <v>#DIV/0!</v>
      </c>
    </row>
    <row r="173" spans="1:22" x14ac:dyDescent="0.2">
      <c r="A173">
        <v>20250311</v>
      </c>
      <c r="B173" t="s">
        <v>7</v>
      </c>
      <c r="C173" t="s">
        <v>8</v>
      </c>
      <c r="D173">
        <v>2</v>
      </c>
      <c r="E173">
        <v>47</v>
      </c>
      <c r="F173">
        <v>0</v>
      </c>
      <c r="G173">
        <v>0</v>
      </c>
      <c r="H173" s="1">
        <f t="shared" si="5"/>
        <v>45727</v>
      </c>
      <c r="I173">
        <f t="shared" si="6"/>
        <v>11</v>
      </c>
      <c r="L173" s="9" t="s">
        <v>214</v>
      </c>
      <c r="M173" cm="1">
        <f t="array" ref="M173">SUMPRODUCT((A173:A1171=$L173)*(B173:B1171="sterling silver earrings")*(D173:D1171)*(E173:E1171)) / SUMIFS(E173:E1171, A173:A1171, $L173, B173:B1171, "sterling silver earrings")</f>
        <v>0</v>
      </c>
      <c r="N173" s="7" t="e" cm="1">
        <f t="array" ref="N173">SUMPRODUCT((A173:A1171=$L173)*(B173:B1171="silver hoop earrings for women")*(D173:D1171)*(E173:E1171)) / SUMIFS(E173:E1171, A173:A1171, $L173, B173:B1171, "silver hoop earrings for women")</f>
        <v>#DIV/0!</v>
      </c>
      <c r="O173" s="7" t="e" cm="1">
        <f t="array" ref="O173">SUMPRODUCT((A173:A1171=$L173)*(B173:B1171="hoop earrings")*(D173:D1171)*(E173:E1171)) / SUMIFS(E173:E1171, A173:A1171, $L173, B173:B1171, "hoop earrings")</f>
        <v>#DIV/0!</v>
      </c>
      <c r="P173" s="7" t="e" cm="1">
        <f t="array" ref="P173">SUMPRODUCT((A173:A1171=$L173)*(B173:B1171="silver hoops")*(D173:D1171)*(E173:E1171)) / SUMIFS(E173:E1171, A173:A1171, $L173, B173:B1171, "silver hoops")</f>
        <v>#DIV/0!</v>
      </c>
      <c r="Q173" s="7" cm="1">
        <f t="array" ref="Q173">SUMPRODUCT((A173:A1171=$L173)*(B173:B1171="sterling silver hoop earrings")*(D173:D1171)*(E173:E1171)) / SUMIFS(E173:E1171, A173:A1171, $L173, B173:B1171, "sterling silver hoop earrings")</f>
        <v>0</v>
      </c>
      <c r="R173" s="7" t="e" cm="1">
        <f t="array" ref="R173">SUMPRODUCT((A173:A1171=$L173)*(B173:B1171="silver hoop earrings")*(D173:D1171)*(E173:E1171)) / SUMIFS(E173:E1171, A173:A1171, $L173, B173:B1171, "silver hoop earrings")</f>
        <v>#DIV/0!</v>
      </c>
      <c r="S173" s="7" t="e" cm="1">
        <f t="array" ref="S173">SUMPRODUCT((A173:A1171=$L173)*(B173:B1171="925 sterling silver earrings")*(D173:D1171)*(E173:E1171)) / SUMIFS(E173:E1171, A173:A1171, $L173, B173:B1171, "925 sterling silver earrings")</f>
        <v>#DIV/0!</v>
      </c>
      <c r="T173" s="7" t="e" cm="1">
        <f t="array" ref="T173">SUMPRODUCT((A173:A1171=$L173)*(B173:B1171="hoops")*(D173:D1171)*(E173:E1171)) / SUMIFS(E173:E1171, A173:A1171, $L173, B173:B1171, "hoops")</f>
        <v>#DIV/0!</v>
      </c>
      <c r="U173" s="7" t="e" cm="1">
        <f t="array" ref="U173">SUMPRODUCT((A173:A1171=$L173)*(B173:B1171="hoops earrings for women")*(D173:D1171)*(E173:E1171)) / SUMIFS(E173:E1171, A173:A1171, $L173, B173:B1171, "hoops earrings for women")</f>
        <v>#DIV/0!</v>
      </c>
      <c r="V173" s="7" t="e" cm="1">
        <f t="array" ref="V173">SUMPRODUCT((A173:A1171=$L173)*(B173:B1171="silver hoops earrings for women")*(D173:D1171)*(E173:E1171)) / SUMIFS(E173:E1171, A173:A1171, $L173, B173:B1171, "silver hoops earrings for women")</f>
        <v>#DIV/0!</v>
      </c>
    </row>
    <row r="174" spans="1:22" x14ac:dyDescent="0.2">
      <c r="A174">
        <v>20250311</v>
      </c>
      <c r="B174" t="s">
        <v>10</v>
      </c>
      <c r="C174" t="s">
        <v>17</v>
      </c>
      <c r="D174">
        <v>1</v>
      </c>
      <c r="E174">
        <v>1</v>
      </c>
      <c r="F174">
        <v>0</v>
      </c>
      <c r="G174">
        <v>0</v>
      </c>
      <c r="H174" s="1">
        <f t="shared" si="5"/>
        <v>45727</v>
      </c>
      <c r="I174">
        <f t="shared" si="6"/>
        <v>11</v>
      </c>
      <c r="L174" s="9" t="s">
        <v>215</v>
      </c>
      <c r="M174" t="e" cm="1">
        <f t="array" ref="M174">SUMPRODUCT((A174:A1172=$L174)*(B174:B1172="sterling silver earrings")*(D174:D1172)*(E174:E1172)) / SUMIFS(E174:E1172, A174:A1172, $L174, B174:B1172, "sterling silver earrings")</f>
        <v>#DIV/0!</v>
      </c>
      <c r="N174" s="7" t="e" cm="1">
        <f t="array" ref="N174">SUMPRODUCT((A174:A1172=$L174)*(B174:B1172="silver hoop earrings for women")*(D174:D1172)*(E174:E1172)) / SUMIFS(E174:E1172, A174:A1172, $L174, B174:B1172, "silver hoop earrings for women")</f>
        <v>#DIV/0!</v>
      </c>
      <c r="O174" s="7" t="e" cm="1">
        <f t="array" ref="O174">SUMPRODUCT((A174:A1172=$L174)*(B174:B1172="hoop earrings")*(D174:D1172)*(E174:E1172)) / SUMIFS(E174:E1172, A174:A1172, $L174, B174:B1172, "hoop earrings")</f>
        <v>#DIV/0!</v>
      </c>
      <c r="P174" s="7" t="e" cm="1">
        <f t="array" ref="P174">SUMPRODUCT((A174:A1172=$L174)*(B174:B1172="silver hoops")*(D174:D1172)*(E174:E1172)) / SUMIFS(E174:E1172, A174:A1172, $L174, B174:B1172, "silver hoops")</f>
        <v>#DIV/0!</v>
      </c>
      <c r="Q174" s="7" t="e" cm="1">
        <f t="array" ref="Q174">SUMPRODUCT((A174:A1172=$L174)*(B174:B1172="sterling silver hoop earrings")*(D174:D1172)*(E174:E1172)) / SUMIFS(E174:E1172, A174:A1172, $L174, B174:B1172, "sterling silver hoop earrings")</f>
        <v>#DIV/0!</v>
      </c>
      <c r="R174" s="7" t="e" cm="1">
        <f t="array" ref="R174">SUMPRODUCT((A174:A1172=$L174)*(B174:B1172="silver hoop earrings")*(D174:D1172)*(E174:E1172)) / SUMIFS(E174:E1172, A174:A1172, $L174, B174:B1172, "silver hoop earrings")</f>
        <v>#DIV/0!</v>
      </c>
      <c r="S174" s="7" t="e" cm="1">
        <f t="array" ref="S174">SUMPRODUCT((A174:A1172=$L174)*(B174:B1172="925 sterling silver earrings")*(D174:D1172)*(E174:E1172)) / SUMIFS(E174:E1172, A174:A1172, $L174, B174:B1172, "925 sterling silver earrings")</f>
        <v>#DIV/0!</v>
      </c>
      <c r="T174" s="7" t="e" cm="1">
        <f t="array" ref="T174">SUMPRODUCT((A174:A1172=$L174)*(B174:B1172="hoops")*(D174:D1172)*(E174:E1172)) / SUMIFS(E174:E1172, A174:A1172, $L174, B174:B1172, "hoops")</f>
        <v>#DIV/0!</v>
      </c>
      <c r="U174" s="7" t="e" cm="1">
        <f t="array" ref="U174">SUMPRODUCT((A174:A1172=$L174)*(B174:B1172="hoops earrings for women")*(D174:D1172)*(E174:E1172)) / SUMIFS(E174:E1172, A174:A1172, $L174, B174:B1172, "hoops earrings for women")</f>
        <v>#DIV/0!</v>
      </c>
      <c r="V174" s="7" t="e" cm="1">
        <f t="array" ref="V174">SUMPRODUCT((A174:A1172=$L174)*(B174:B1172="silver hoops earrings for women")*(D174:D1172)*(E174:E1172)) / SUMIFS(E174:E1172, A174:A1172, $L174, B174:B1172, "silver hoops earrings for women")</f>
        <v>#DIV/0!</v>
      </c>
    </row>
    <row r="175" spans="1:22" x14ac:dyDescent="0.2">
      <c r="A175">
        <v>20250312</v>
      </c>
      <c r="B175" t="s">
        <v>7</v>
      </c>
      <c r="C175" t="s">
        <v>8</v>
      </c>
      <c r="D175">
        <v>4</v>
      </c>
      <c r="E175">
        <v>13.25</v>
      </c>
      <c r="F175">
        <v>0</v>
      </c>
      <c r="G175">
        <v>0</v>
      </c>
      <c r="H175" s="1">
        <f t="shared" si="5"/>
        <v>45728</v>
      </c>
      <c r="I175">
        <f t="shared" si="6"/>
        <v>11</v>
      </c>
      <c r="L175" s="9" t="s">
        <v>216</v>
      </c>
      <c r="M175" t="e" cm="1">
        <f t="array" ref="M175">SUMPRODUCT((A175:A1173=$L175)*(B175:B1173="sterling silver earrings")*(D175:D1173)*(E175:E1173)) / SUMIFS(E175:E1173, A175:A1173, $L175, B175:B1173, "sterling silver earrings")</f>
        <v>#DIV/0!</v>
      </c>
      <c r="N175" s="7" t="e" cm="1">
        <f t="array" ref="N175">SUMPRODUCT((A175:A1173=$L175)*(B175:B1173="silver hoop earrings for women")*(D175:D1173)*(E175:E1173)) / SUMIFS(E175:E1173, A175:A1173, $L175, B175:B1173, "silver hoop earrings for women")</f>
        <v>#DIV/0!</v>
      </c>
      <c r="O175" s="7" t="e" cm="1">
        <f t="array" ref="O175">SUMPRODUCT((A175:A1173=$L175)*(B175:B1173="hoop earrings")*(D175:D1173)*(E175:E1173)) / SUMIFS(E175:E1173, A175:A1173, $L175, B175:B1173, "hoop earrings")</f>
        <v>#DIV/0!</v>
      </c>
      <c r="P175" s="7" t="e" cm="1">
        <f t="array" ref="P175">SUMPRODUCT((A175:A1173=$L175)*(B175:B1173="silver hoops")*(D175:D1173)*(E175:E1173)) / SUMIFS(E175:E1173, A175:A1173, $L175, B175:B1173, "silver hoops")</f>
        <v>#DIV/0!</v>
      </c>
      <c r="Q175" s="7" t="e" cm="1">
        <f t="array" ref="Q175">SUMPRODUCT((A175:A1173=$L175)*(B175:B1173="sterling silver hoop earrings")*(D175:D1173)*(E175:E1173)) / SUMIFS(E175:E1173, A175:A1173, $L175, B175:B1173, "sterling silver hoop earrings")</f>
        <v>#DIV/0!</v>
      </c>
      <c r="R175" s="7" t="e" cm="1">
        <f t="array" ref="R175">SUMPRODUCT((A175:A1173=$L175)*(B175:B1173="silver hoop earrings")*(D175:D1173)*(E175:E1173)) / SUMIFS(E175:E1173, A175:A1173, $L175, B175:B1173, "silver hoop earrings")</f>
        <v>#DIV/0!</v>
      </c>
      <c r="S175" s="7" t="e" cm="1">
        <f t="array" ref="S175">SUMPRODUCT((A175:A1173=$L175)*(B175:B1173="925 sterling silver earrings")*(D175:D1173)*(E175:E1173)) / SUMIFS(E175:E1173, A175:A1173, $L175, B175:B1173, "925 sterling silver earrings")</f>
        <v>#DIV/0!</v>
      </c>
      <c r="T175" s="7" t="e" cm="1">
        <f t="array" ref="T175">SUMPRODUCT((A175:A1173=$L175)*(B175:B1173="hoops")*(D175:D1173)*(E175:E1173)) / SUMIFS(E175:E1173, A175:A1173, $L175, B175:B1173, "hoops")</f>
        <v>#DIV/0!</v>
      </c>
      <c r="U175" s="7" t="e" cm="1">
        <f t="array" ref="U175">SUMPRODUCT((A175:A1173=$L175)*(B175:B1173="hoops earrings for women")*(D175:D1173)*(E175:E1173)) / SUMIFS(E175:E1173, A175:A1173, $L175, B175:B1173, "hoops earrings for women")</f>
        <v>#DIV/0!</v>
      </c>
      <c r="V175" s="7" t="e" cm="1">
        <f t="array" ref="V175">SUMPRODUCT((A175:A1173=$L175)*(B175:B1173="silver hoops earrings for women")*(D175:D1173)*(E175:E1173)) / SUMIFS(E175:E1173, A175:A1173, $L175, B175:B1173, "silver hoops earrings for women")</f>
        <v>#DIV/0!</v>
      </c>
    </row>
    <row r="176" spans="1:22" x14ac:dyDescent="0.2">
      <c r="A176">
        <v>20250312</v>
      </c>
      <c r="B176" t="s">
        <v>7</v>
      </c>
      <c r="C176" t="s">
        <v>13</v>
      </c>
      <c r="D176">
        <v>1</v>
      </c>
      <c r="E176">
        <v>26</v>
      </c>
      <c r="F176">
        <v>0</v>
      </c>
      <c r="G176">
        <v>0</v>
      </c>
      <c r="H176" s="1">
        <f t="shared" si="5"/>
        <v>45728</v>
      </c>
      <c r="I176">
        <f t="shared" si="6"/>
        <v>11</v>
      </c>
      <c r="L176" s="9" t="s">
        <v>217</v>
      </c>
      <c r="M176" t="e" cm="1">
        <f t="array" ref="M176">SUMPRODUCT((A176:A1174=$L176)*(B176:B1174="sterling silver earrings")*(D176:D1174)*(E176:E1174)) / SUMIFS(E176:E1174, A176:A1174, $L176, B176:B1174, "sterling silver earrings")</f>
        <v>#DIV/0!</v>
      </c>
      <c r="N176" s="7" t="e" cm="1">
        <f t="array" ref="N176">SUMPRODUCT((A176:A1174=$L176)*(B176:B1174="silver hoop earrings for women")*(D176:D1174)*(E176:E1174)) / SUMIFS(E176:E1174, A176:A1174, $L176, B176:B1174, "silver hoop earrings for women")</f>
        <v>#DIV/0!</v>
      </c>
      <c r="O176" s="7" t="e" cm="1">
        <f t="array" ref="O176">SUMPRODUCT((A176:A1174=$L176)*(B176:B1174="hoop earrings")*(D176:D1174)*(E176:E1174)) / SUMIFS(E176:E1174, A176:A1174, $L176, B176:B1174, "hoop earrings")</f>
        <v>#DIV/0!</v>
      </c>
      <c r="P176" s="7" t="e" cm="1">
        <f t="array" ref="P176">SUMPRODUCT((A176:A1174=$L176)*(B176:B1174="silver hoops")*(D176:D1174)*(E176:E1174)) / SUMIFS(E176:E1174, A176:A1174, $L176, B176:B1174, "silver hoops")</f>
        <v>#DIV/0!</v>
      </c>
      <c r="Q176" s="7" t="e" cm="1">
        <f t="array" ref="Q176">SUMPRODUCT((A176:A1174=$L176)*(B176:B1174="sterling silver hoop earrings")*(D176:D1174)*(E176:E1174)) / SUMIFS(E176:E1174, A176:A1174, $L176, B176:B1174, "sterling silver hoop earrings")</f>
        <v>#DIV/0!</v>
      </c>
      <c r="R176" s="7" t="e" cm="1">
        <f t="array" ref="R176">SUMPRODUCT((A176:A1174=$L176)*(B176:B1174="silver hoop earrings")*(D176:D1174)*(E176:E1174)) / SUMIFS(E176:E1174, A176:A1174, $L176, B176:B1174, "silver hoop earrings")</f>
        <v>#DIV/0!</v>
      </c>
      <c r="S176" s="7" t="e" cm="1">
        <f t="array" ref="S176">SUMPRODUCT((A176:A1174=$L176)*(B176:B1174="925 sterling silver earrings")*(D176:D1174)*(E176:E1174)) / SUMIFS(E176:E1174, A176:A1174, $L176, B176:B1174, "925 sterling silver earrings")</f>
        <v>#DIV/0!</v>
      </c>
      <c r="T176" s="7" t="e" cm="1">
        <f t="array" ref="T176">SUMPRODUCT((A176:A1174=$L176)*(B176:B1174="hoops")*(D176:D1174)*(E176:E1174)) / SUMIFS(E176:E1174, A176:A1174, $L176, B176:B1174, "hoops")</f>
        <v>#DIV/0!</v>
      </c>
      <c r="U176" s="7" t="e" cm="1">
        <f t="array" ref="U176">SUMPRODUCT((A176:A1174=$L176)*(B176:B1174="hoops earrings for women")*(D176:D1174)*(E176:E1174)) / SUMIFS(E176:E1174, A176:A1174, $L176, B176:B1174, "hoops earrings for women")</f>
        <v>#DIV/0!</v>
      </c>
      <c r="V176" s="7" t="e" cm="1">
        <f t="array" ref="V176">SUMPRODUCT((A176:A1174=$L176)*(B176:B1174="silver hoops earrings for women")*(D176:D1174)*(E176:E1174)) / SUMIFS(E176:E1174, A176:A1174, $L176, B176:B1174, "silver hoops earrings for women")</f>
        <v>#DIV/0!</v>
      </c>
    </row>
    <row r="177" spans="1:22" x14ac:dyDescent="0.2">
      <c r="A177">
        <v>20250312</v>
      </c>
      <c r="B177" t="s">
        <v>10</v>
      </c>
      <c r="C177" t="s">
        <v>8</v>
      </c>
      <c r="D177">
        <v>3</v>
      </c>
      <c r="E177">
        <v>12</v>
      </c>
      <c r="F177">
        <v>0</v>
      </c>
      <c r="G177">
        <v>0</v>
      </c>
      <c r="H177" s="1">
        <f t="shared" si="5"/>
        <v>45728</v>
      </c>
      <c r="I177">
        <f t="shared" si="6"/>
        <v>11</v>
      </c>
      <c r="L177" s="9" t="s">
        <v>218</v>
      </c>
      <c r="M177" t="e" cm="1">
        <f t="array" ref="M177">SUMPRODUCT((A177:A1175=$L177)*(B177:B1175="sterling silver earrings")*(D177:D1175)*(E177:E1175)) / SUMIFS(E177:E1175, A177:A1175, $L177, B177:B1175, "sterling silver earrings")</f>
        <v>#DIV/0!</v>
      </c>
      <c r="N177" s="7" t="e" cm="1">
        <f t="array" ref="N177">SUMPRODUCT((A177:A1175=$L177)*(B177:B1175="silver hoop earrings for women")*(D177:D1175)*(E177:E1175)) / SUMIFS(E177:E1175, A177:A1175, $L177, B177:B1175, "silver hoop earrings for women")</f>
        <v>#DIV/0!</v>
      </c>
      <c r="O177" s="7" t="e" cm="1">
        <f t="array" ref="O177">SUMPRODUCT((A177:A1175=$L177)*(B177:B1175="hoop earrings")*(D177:D1175)*(E177:E1175)) / SUMIFS(E177:E1175, A177:A1175, $L177, B177:B1175, "hoop earrings")</f>
        <v>#DIV/0!</v>
      </c>
      <c r="P177" s="7" t="e" cm="1">
        <f t="array" ref="P177">SUMPRODUCT((A177:A1175=$L177)*(B177:B1175="silver hoops")*(D177:D1175)*(E177:E1175)) / SUMIFS(E177:E1175, A177:A1175, $L177, B177:B1175, "silver hoops")</f>
        <v>#DIV/0!</v>
      </c>
      <c r="Q177" s="7" t="e" cm="1">
        <f t="array" ref="Q177">SUMPRODUCT((A177:A1175=$L177)*(B177:B1175="sterling silver hoop earrings")*(D177:D1175)*(E177:E1175)) / SUMIFS(E177:E1175, A177:A1175, $L177, B177:B1175, "sterling silver hoop earrings")</f>
        <v>#DIV/0!</v>
      </c>
      <c r="R177" s="7" t="e" cm="1">
        <f t="array" ref="R177">SUMPRODUCT((A177:A1175=$L177)*(B177:B1175="silver hoop earrings")*(D177:D1175)*(E177:E1175)) / SUMIFS(E177:E1175, A177:A1175, $L177, B177:B1175, "silver hoop earrings")</f>
        <v>#DIV/0!</v>
      </c>
      <c r="S177" s="7" t="e" cm="1">
        <f t="array" ref="S177">SUMPRODUCT((A177:A1175=$L177)*(B177:B1175="925 sterling silver earrings")*(D177:D1175)*(E177:E1175)) / SUMIFS(E177:E1175, A177:A1175, $L177, B177:B1175, "925 sterling silver earrings")</f>
        <v>#DIV/0!</v>
      </c>
      <c r="T177" s="7" t="e" cm="1">
        <f t="array" ref="T177">SUMPRODUCT((A177:A1175=$L177)*(B177:B1175="hoops")*(D177:D1175)*(E177:E1175)) / SUMIFS(E177:E1175, A177:A1175, $L177, B177:B1175, "hoops")</f>
        <v>#DIV/0!</v>
      </c>
      <c r="U177" s="7" t="e" cm="1">
        <f t="array" ref="U177">SUMPRODUCT((A177:A1175=$L177)*(B177:B1175="hoops earrings for women")*(D177:D1175)*(E177:E1175)) / SUMIFS(E177:E1175, A177:A1175, $L177, B177:B1175, "hoops earrings for women")</f>
        <v>#DIV/0!</v>
      </c>
      <c r="V177" s="7" t="e" cm="1">
        <f t="array" ref="V177">SUMPRODUCT((A177:A1175=$L177)*(B177:B1175="silver hoops earrings for women")*(D177:D1175)*(E177:E1175)) / SUMIFS(E177:E1175, A177:A1175, $L177, B177:B1175, "silver hoops earrings for women")</f>
        <v>#DIV/0!</v>
      </c>
    </row>
    <row r="178" spans="1:22" x14ac:dyDescent="0.2">
      <c r="A178">
        <v>20250313</v>
      </c>
      <c r="B178" t="s">
        <v>19</v>
      </c>
      <c r="C178" t="s">
        <v>8</v>
      </c>
      <c r="D178">
        <v>1</v>
      </c>
      <c r="E178">
        <v>36</v>
      </c>
      <c r="F178">
        <v>0</v>
      </c>
      <c r="G178">
        <v>0</v>
      </c>
      <c r="H178" s="1">
        <f t="shared" si="5"/>
        <v>45729</v>
      </c>
      <c r="I178">
        <f t="shared" si="6"/>
        <v>11</v>
      </c>
      <c r="L178" s="9" t="s">
        <v>219</v>
      </c>
      <c r="M178" t="e" cm="1">
        <f t="array" ref="M178">SUMPRODUCT((A178:A1176=$L178)*(B178:B1176="sterling silver earrings")*(D178:D1176)*(E178:E1176)) / SUMIFS(E178:E1176, A178:A1176, $L178, B178:B1176, "sterling silver earrings")</f>
        <v>#DIV/0!</v>
      </c>
      <c r="N178" s="7" t="e" cm="1">
        <f t="array" ref="N178">SUMPRODUCT((A178:A1176=$L178)*(B178:B1176="silver hoop earrings for women")*(D178:D1176)*(E178:E1176)) / SUMIFS(E178:E1176, A178:A1176, $L178, B178:B1176, "silver hoop earrings for women")</f>
        <v>#DIV/0!</v>
      </c>
      <c r="O178" s="7" t="e" cm="1">
        <f t="array" ref="O178">SUMPRODUCT((A178:A1176=$L178)*(B178:B1176="hoop earrings")*(D178:D1176)*(E178:E1176)) / SUMIFS(E178:E1176, A178:A1176, $L178, B178:B1176, "hoop earrings")</f>
        <v>#DIV/0!</v>
      </c>
      <c r="P178" s="7" t="e" cm="1">
        <f t="array" ref="P178">SUMPRODUCT((A178:A1176=$L178)*(B178:B1176="silver hoops")*(D178:D1176)*(E178:E1176)) / SUMIFS(E178:E1176, A178:A1176, $L178, B178:B1176, "silver hoops")</f>
        <v>#DIV/0!</v>
      </c>
      <c r="Q178" s="7" t="e" cm="1">
        <f t="array" ref="Q178">SUMPRODUCT((A178:A1176=$L178)*(B178:B1176="sterling silver hoop earrings")*(D178:D1176)*(E178:E1176)) / SUMIFS(E178:E1176, A178:A1176, $L178, B178:B1176, "sterling silver hoop earrings")</f>
        <v>#DIV/0!</v>
      </c>
      <c r="R178" s="7" t="e" cm="1">
        <f t="array" ref="R178">SUMPRODUCT((A178:A1176=$L178)*(B178:B1176="silver hoop earrings")*(D178:D1176)*(E178:E1176)) / SUMIFS(E178:E1176, A178:A1176, $L178, B178:B1176, "silver hoop earrings")</f>
        <v>#DIV/0!</v>
      </c>
      <c r="S178" s="7" t="e" cm="1">
        <f t="array" ref="S178">SUMPRODUCT((A178:A1176=$L178)*(B178:B1176="925 sterling silver earrings")*(D178:D1176)*(E178:E1176)) / SUMIFS(E178:E1176, A178:A1176, $L178, B178:B1176, "925 sterling silver earrings")</f>
        <v>#DIV/0!</v>
      </c>
      <c r="T178" s="7" t="e" cm="1">
        <f t="array" ref="T178">SUMPRODUCT((A178:A1176=$L178)*(B178:B1176="hoops")*(D178:D1176)*(E178:E1176)) / SUMIFS(E178:E1176, A178:A1176, $L178, B178:B1176, "hoops")</f>
        <v>#DIV/0!</v>
      </c>
      <c r="U178" s="7" t="e" cm="1">
        <f t="array" ref="U178">SUMPRODUCT((A178:A1176=$L178)*(B178:B1176="hoops earrings for women")*(D178:D1176)*(E178:E1176)) / SUMIFS(E178:E1176, A178:A1176, $L178, B178:B1176, "hoops earrings for women")</f>
        <v>#DIV/0!</v>
      </c>
      <c r="V178" s="7" t="e" cm="1">
        <f t="array" ref="V178">SUMPRODUCT((A178:A1176=$L178)*(B178:B1176="silver hoops earrings for women")*(D178:D1176)*(E178:E1176)) / SUMIFS(E178:E1176, A178:A1176, $L178, B178:B1176, "silver hoops earrings for women")</f>
        <v>#DIV/0!</v>
      </c>
    </row>
    <row r="179" spans="1:22" x14ac:dyDescent="0.2">
      <c r="A179">
        <v>20250313</v>
      </c>
      <c r="B179" t="s">
        <v>7</v>
      </c>
      <c r="C179" t="s">
        <v>8</v>
      </c>
      <c r="D179">
        <v>4</v>
      </c>
      <c r="E179">
        <v>14.5</v>
      </c>
      <c r="F179">
        <v>0</v>
      </c>
      <c r="G179">
        <v>0</v>
      </c>
      <c r="H179" s="1">
        <f t="shared" si="5"/>
        <v>45729</v>
      </c>
      <c r="I179">
        <f t="shared" si="6"/>
        <v>11</v>
      </c>
      <c r="L179" s="9" t="s">
        <v>220</v>
      </c>
      <c r="M179" t="e" cm="1">
        <f t="array" ref="M179">SUMPRODUCT((A179:A1177=$L179)*(B179:B1177="sterling silver earrings")*(D179:D1177)*(E179:E1177)) / SUMIFS(E179:E1177, A179:A1177, $L179, B179:B1177, "sterling silver earrings")</f>
        <v>#DIV/0!</v>
      </c>
      <c r="N179" s="7" t="e" cm="1">
        <f t="array" ref="N179">SUMPRODUCT((A179:A1177=$L179)*(B179:B1177="silver hoop earrings for women")*(D179:D1177)*(E179:E1177)) / SUMIFS(E179:E1177, A179:A1177, $L179, B179:B1177, "silver hoop earrings for women")</f>
        <v>#DIV/0!</v>
      </c>
      <c r="O179" s="7" t="e" cm="1">
        <f t="array" ref="O179">SUMPRODUCT((A179:A1177=$L179)*(B179:B1177="hoop earrings")*(D179:D1177)*(E179:E1177)) / SUMIFS(E179:E1177, A179:A1177, $L179, B179:B1177, "hoop earrings")</f>
        <v>#DIV/0!</v>
      </c>
      <c r="P179" s="7" t="e" cm="1">
        <f t="array" ref="P179">SUMPRODUCT((A179:A1177=$L179)*(B179:B1177="silver hoops")*(D179:D1177)*(E179:E1177)) / SUMIFS(E179:E1177, A179:A1177, $L179, B179:B1177, "silver hoops")</f>
        <v>#DIV/0!</v>
      </c>
      <c r="Q179" s="7" t="e" cm="1">
        <f t="array" ref="Q179">SUMPRODUCT((A179:A1177=$L179)*(B179:B1177="sterling silver hoop earrings")*(D179:D1177)*(E179:E1177)) / SUMIFS(E179:E1177, A179:A1177, $L179, B179:B1177, "sterling silver hoop earrings")</f>
        <v>#DIV/0!</v>
      </c>
      <c r="R179" s="7" t="e" cm="1">
        <f t="array" ref="R179">SUMPRODUCT((A179:A1177=$L179)*(B179:B1177="silver hoop earrings")*(D179:D1177)*(E179:E1177)) / SUMIFS(E179:E1177, A179:A1177, $L179, B179:B1177, "silver hoop earrings")</f>
        <v>#DIV/0!</v>
      </c>
      <c r="S179" s="7" t="e" cm="1">
        <f t="array" ref="S179">SUMPRODUCT((A179:A1177=$L179)*(B179:B1177="925 sterling silver earrings")*(D179:D1177)*(E179:E1177)) / SUMIFS(E179:E1177, A179:A1177, $L179, B179:B1177, "925 sterling silver earrings")</f>
        <v>#DIV/0!</v>
      </c>
      <c r="T179" s="7" t="e" cm="1">
        <f t="array" ref="T179">SUMPRODUCT((A179:A1177=$L179)*(B179:B1177="hoops")*(D179:D1177)*(E179:E1177)) / SUMIFS(E179:E1177, A179:A1177, $L179, B179:B1177, "hoops")</f>
        <v>#DIV/0!</v>
      </c>
      <c r="U179" s="7" t="e" cm="1">
        <f t="array" ref="U179">SUMPRODUCT((A179:A1177=$L179)*(B179:B1177="hoops earrings for women")*(D179:D1177)*(E179:E1177)) / SUMIFS(E179:E1177, A179:A1177, $L179, B179:B1177, "hoops earrings for women")</f>
        <v>#DIV/0!</v>
      </c>
      <c r="V179" s="7" t="e" cm="1">
        <f t="array" ref="V179">SUMPRODUCT((A179:A1177=$L179)*(B179:B1177="silver hoops earrings for women")*(D179:D1177)*(E179:E1177)) / SUMIFS(E179:E1177, A179:A1177, $L179, B179:B1177, "silver hoops earrings for women")</f>
        <v>#DIV/0!</v>
      </c>
    </row>
    <row r="180" spans="1:22" x14ac:dyDescent="0.2">
      <c r="A180">
        <v>20250313</v>
      </c>
      <c r="B180" t="s">
        <v>7</v>
      </c>
      <c r="C180" t="s">
        <v>24</v>
      </c>
      <c r="D180">
        <v>2</v>
      </c>
      <c r="E180">
        <v>44.5</v>
      </c>
      <c r="F180">
        <v>0</v>
      </c>
      <c r="G180">
        <v>0</v>
      </c>
      <c r="H180" s="1">
        <f t="shared" si="5"/>
        <v>45729</v>
      </c>
      <c r="I180">
        <f t="shared" si="6"/>
        <v>11</v>
      </c>
      <c r="L180" s="9" t="str">
        <f t="shared" ref="L180" si="7">TEXT(DATE(2025,1,1)+ROW()-1,"YYYYMMDD")</f>
        <v>20250629</v>
      </c>
      <c r="M180" t="e" cm="1">
        <f t="array" ref="M180">SUMPRODUCT((A180:A1178=$L180)*(B180:B1178="sterling silver earrings")*(D180:D1178)*(E180:E1178)) / SUMIFS(E180:E1178, A180:A1178, $L180, B180:B1178, "sterling silver earrings")</f>
        <v>#DIV/0!</v>
      </c>
      <c r="N180" s="7" t="e" cm="1">
        <f t="array" ref="N180">SUMPRODUCT((A180:A1178=$L180)*(B180:B1178="silver hoop earrings for women")*(D180:D1178)*(E180:E1178)) / SUMIFS(E180:E1178, A180:A1178, $L180, B180:B1178, "silver hoop earrings for women")</f>
        <v>#DIV/0!</v>
      </c>
      <c r="O180" s="7" t="e" cm="1">
        <f t="array" ref="O180">SUMPRODUCT((A180:A1178=$L180)*(B180:B1178="hoop earrings")*(D180:D1178)*(E180:E1178)) / SUMIFS(E180:E1178, A180:A1178, $L180, B180:B1178, "hoop earrings")</f>
        <v>#DIV/0!</v>
      </c>
      <c r="P180" s="7" t="e" cm="1">
        <f t="array" ref="P180">SUMPRODUCT((A180:A1178=$L180)*(B180:B1178="silver hoops")*(D180:D1178)*(E180:E1178)) / SUMIFS(E180:E1178, A180:A1178, $L180, B180:B1178, "silver hoops")</f>
        <v>#DIV/0!</v>
      </c>
      <c r="Q180" s="7" t="e" cm="1">
        <f t="array" ref="Q180">SUMPRODUCT((A180:A1178=$L180)*(B180:B1178="sterling silver hoop earrings")*(D180:D1178)*(E180:E1178)) / SUMIFS(E180:E1178, A180:A1178, $L180, B180:B1178, "sterling silver hoop earrings")</f>
        <v>#DIV/0!</v>
      </c>
      <c r="R180" s="7" t="e" cm="1">
        <f t="array" ref="R180">SUMPRODUCT((A180:A1178=$L180)*(B180:B1178="silver hoop earrings")*(D180:D1178)*(E180:E1178)) / SUMIFS(E180:E1178, A180:A1178, $L180, B180:B1178, "silver hoop earrings")</f>
        <v>#DIV/0!</v>
      </c>
      <c r="S180" s="7" t="e" cm="1">
        <f t="array" ref="S180">SUMPRODUCT((A180:A1178=$L180)*(B180:B1178="925 sterling silver earrings")*(D180:D1178)*(E180:E1178)) / SUMIFS(E180:E1178, A180:A1178, $L180, B180:B1178, "925 sterling silver earrings")</f>
        <v>#DIV/0!</v>
      </c>
      <c r="T180" s="7" t="e" cm="1">
        <f t="array" ref="T180">SUMPRODUCT((A180:A1178=$L180)*(B180:B1178="hoops")*(D180:D1178)*(E180:E1178)) / SUMIFS(E180:E1178, A180:A1178, $L180, B180:B1178, "hoops")</f>
        <v>#DIV/0!</v>
      </c>
      <c r="U180" s="7" t="e" cm="1">
        <f t="array" ref="U180">SUMPRODUCT((A180:A1178=$L180)*(B180:B1178="hoops earrings for women")*(D180:D1178)*(E180:E1178)) / SUMIFS(E180:E1178, A180:A1178, $L180, B180:B1178, "hoops earrings for women")</f>
        <v>#DIV/0!</v>
      </c>
      <c r="V180" s="7" t="e" cm="1">
        <f t="array" ref="V180">SUMPRODUCT((A180:A1178=$L180)*(B180:B1178="silver hoops earrings for women")*(D180:D1178)*(E180:E1178)) / SUMIFS(E180:E1178, A180:A1178, $L180, B180:B1178, "silver hoops earrings for women")</f>
        <v>#DIV/0!</v>
      </c>
    </row>
    <row r="181" spans="1:22" x14ac:dyDescent="0.2">
      <c r="A181">
        <v>20250313</v>
      </c>
      <c r="B181" t="s">
        <v>10</v>
      </c>
      <c r="C181" t="s">
        <v>8</v>
      </c>
      <c r="D181">
        <v>2</v>
      </c>
      <c r="E181">
        <v>10.5</v>
      </c>
      <c r="F181">
        <v>0</v>
      </c>
      <c r="G181">
        <v>0</v>
      </c>
      <c r="H181" s="1">
        <f t="shared" si="5"/>
        <v>45729</v>
      </c>
      <c r="I181">
        <f t="shared" si="6"/>
        <v>11</v>
      </c>
      <c r="L181" s="8"/>
    </row>
    <row r="182" spans="1:22" x14ac:dyDescent="0.2">
      <c r="A182">
        <v>20250313</v>
      </c>
      <c r="B182" t="s">
        <v>10</v>
      </c>
      <c r="C182" t="s">
        <v>13</v>
      </c>
      <c r="D182">
        <v>1</v>
      </c>
      <c r="E182">
        <v>1</v>
      </c>
      <c r="F182">
        <v>0</v>
      </c>
      <c r="G182">
        <v>0</v>
      </c>
      <c r="H182" s="1">
        <f t="shared" si="5"/>
        <v>45729</v>
      </c>
      <c r="I182">
        <f t="shared" si="6"/>
        <v>11</v>
      </c>
      <c r="L182" s="8"/>
    </row>
    <row r="183" spans="1:22" x14ac:dyDescent="0.2">
      <c r="A183">
        <v>20250314</v>
      </c>
      <c r="B183" t="s">
        <v>19</v>
      </c>
      <c r="C183" t="s">
        <v>8</v>
      </c>
      <c r="D183">
        <v>4</v>
      </c>
      <c r="E183">
        <v>1</v>
      </c>
      <c r="F183">
        <v>0</v>
      </c>
      <c r="G183">
        <v>1</v>
      </c>
      <c r="H183" s="1">
        <f t="shared" si="5"/>
        <v>45730</v>
      </c>
      <c r="I183">
        <f t="shared" si="6"/>
        <v>11</v>
      </c>
      <c r="L183" s="8"/>
    </row>
    <row r="184" spans="1:22" x14ac:dyDescent="0.2">
      <c r="A184">
        <v>20250314</v>
      </c>
      <c r="B184" t="s">
        <v>9</v>
      </c>
      <c r="C184" t="s">
        <v>13</v>
      </c>
      <c r="D184">
        <v>6</v>
      </c>
      <c r="E184">
        <v>1</v>
      </c>
      <c r="F184">
        <v>0</v>
      </c>
      <c r="G184">
        <v>0</v>
      </c>
      <c r="H184" s="1">
        <f t="shared" si="5"/>
        <v>45730</v>
      </c>
      <c r="I184">
        <f t="shared" si="6"/>
        <v>11</v>
      </c>
      <c r="L184" s="8"/>
    </row>
    <row r="185" spans="1:22" x14ac:dyDescent="0.2">
      <c r="A185">
        <v>20250314</v>
      </c>
      <c r="B185" t="s">
        <v>10</v>
      </c>
      <c r="C185" t="s">
        <v>13</v>
      </c>
      <c r="D185">
        <v>3</v>
      </c>
      <c r="E185">
        <v>1</v>
      </c>
      <c r="F185">
        <v>0</v>
      </c>
      <c r="G185">
        <v>0</v>
      </c>
      <c r="H185" s="1">
        <f t="shared" si="5"/>
        <v>45730</v>
      </c>
      <c r="I185">
        <f t="shared" si="6"/>
        <v>11</v>
      </c>
      <c r="L185" s="8"/>
    </row>
    <row r="186" spans="1:22" x14ac:dyDescent="0.2">
      <c r="A186">
        <v>20250315</v>
      </c>
      <c r="B186" t="s">
        <v>16</v>
      </c>
      <c r="C186" t="s">
        <v>8</v>
      </c>
      <c r="D186">
        <v>2</v>
      </c>
      <c r="E186">
        <v>1</v>
      </c>
      <c r="F186">
        <v>0</v>
      </c>
      <c r="G186">
        <v>0</v>
      </c>
      <c r="H186" s="1">
        <f t="shared" si="5"/>
        <v>45731</v>
      </c>
      <c r="I186">
        <f t="shared" si="6"/>
        <v>11</v>
      </c>
      <c r="L186" s="8"/>
    </row>
    <row r="187" spans="1:22" x14ac:dyDescent="0.2">
      <c r="A187">
        <v>20250315</v>
      </c>
      <c r="B187" t="s">
        <v>9</v>
      </c>
      <c r="C187" t="s">
        <v>18</v>
      </c>
      <c r="D187">
        <v>4</v>
      </c>
      <c r="E187">
        <v>2</v>
      </c>
      <c r="F187">
        <v>0</v>
      </c>
      <c r="G187">
        <v>0</v>
      </c>
      <c r="H187" s="1">
        <f t="shared" si="5"/>
        <v>45731</v>
      </c>
      <c r="I187">
        <f t="shared" si="6"/>
        <v>11</v>
      </c>
      <c r="L187" s="8"/>
    </row>
    <row r="188" spans="1:22" x14ac:dyDescent="0.2">
      <c r="A188">
        <v>20250315</v>
      </c>
      <c r="B188" t="s">
        <v>9</v>
      </c>
      <c r="C188" t="s">
        <v>13</v>
      </c>
      <c r="D188">
        <v>1</v>
      </c>
      <c r="E188">
        <v>1</v>
      </c>
      <c r="F188">
        <v>0</v>
      </c>
      <c r="G188">
        <v>0</v>
      </c>
      <c r="H188" s="1">
        <f t="shared" si="5"/>
        <v>45731</v>
      </c>
      <c r="I188">
        <f t="shared" si="6"/>
        <v>11</v>
      </c>
      <c r="L188" s="8"/>
    </row>
    <row r="189" spans="1:22" x14ac:dyDescent="0.2">
      <c r="A189">
        <v>20250315</v>
      </c>
      <c r="B189" t="s">
        <v>10</v>
      </c>
      <c r="C189" t="s">
        <v>13</v>
      </c>
      <c r="D189">
        <v>5</v>
      </c>
      <c r="E189">
        <v>33.4</v>
      </c>
      <c r="F189">
        <v>0</v>
      </c>
      <c r="G189">
        <v>3</v>
      </c>
      <c r="H189" s="1">
        <f t="shared" si="5"/>
        <v>45731</v>
      </c>
      <c r="I189">
        <f t="shared" si="6"/>
        <v>11</v>
      </c>
      <c r="L189" s="8"/>
    </row>
    <row r="190" spans="1:22" x14ac:dyDescent="0.2">
      <c r="A190">
        <v>20250316</v>
      </c>
      <c r="B190" t="s">
        <v>7</v>
      </c>
      <c r="C190" t="s">
        <v>8</v>
      </c>
      <c r="D190">
        <v>1</v>
      </c>
      <c r="E190">
        <v>1</v>
      </c>
      <c r="F190">
        <v>0</v>
      </c>
      <c r="G190">
        <v>0</v>
      </c>
      <c r="H190" s="1">
        <f t="shared" si="5"/>
        <v>45732</v>
      </c>
      <c r="I190">
        <f t="shared" si="6"/>
        <v>12</v>
      </c>
      <c r="L190" s="8"/>
    </row>
    <row r="191" spans="1:22" x14ac:dyDescent="0.2">
      <c r="A191">
        <v>20250316</v>
      </c>
      <c r="B191" t="s">
        <v>23</v>
      </c>
      <c r="C191" t="s">
        <v>13</v>
      </c>
      <c r="D191">
        <v>1</v>
      </c>
      <c r="E191">
        <v>79</v>
      </c>
      <c r="F191">
        <v>0</v>
      </c>
      <c r="G191">
        <v>0</v>
      </c>
      <c r="H191" s="1">
        <f t="shared" si="5"/>
        <v>45732</v>
      </c>
      <c r="I191">
        <f t="shared" si="6"/>
        <v>12</v>
      </c>
      <c r="L191" s="8"/>
    </row>
    <row r="192" spans="1:22" x14ac:dyDescent="0.2">
      <c r="A192">
        <v>20250316</v>
      </c>
      <c r="B192" t="s">
        <v>9</v>
      </c>
      <c r="C192" t="s">
        <v>13</v>
      </c>
      <c r="D192">
        <v>2</v>
      </c>
      <c r="E192">
        <v>1</v>
      </c>
      <c r="F192">
        <v>0</v>
      </c>
      <c r="G192">
        <v>0</v>
      </c>
      <c r="H192" s="1">
        <f t="shared" si="5"/>
        <v>45732</v>
      </c>
      <c r="I192">
        <f t="shared" si="6"/>
        <v>12</v>
      </c>
      <c r="L192" s="8"/>
    </row>
    <row r="193" spans="1:12" x14ac:dyDescent="0.2">
      <c r="A193">
        <v>20250316</v>
      </c>
      <c r="B193" t="s">
        <v>10</v>
      </c>
      <c r="C193" t="s">
        <v>8</v>
      </c>
      <c r="D193">
        <v>1</v>
      </c>
      <c r="E193">
        <v>12</v>
      </c>
      <c r="F193">
        <v>0</v>
      </c>
      <c r="G193">
        <v>0</v>
      </c>
      <c r="H193" s="1">
        <f t="shared" si="5"/>
        <v>45732</v>
      </c>
      <c r="I193">
        <f t="shared" si="6"/>
        <v>12</v>
      </c>
      <c r="L193" s="8"/>
    </row>
    <row r="194" spans="1:12" x14ac:dyDescent="0.2">
      <c r="A194">
        <v>20250317</v>
      </c>
      <c r="B194" t="s">
        <v>16</v>
      </c>
      <c r="C194" t="s">
        <v>8</v>
      </c>
      <c r="D194">
        <v>1</v>
      </c>
      <c r="E194">
        <v>36</v>
      </c>
      <c r="F194">
        <v>0</v>
      </c>
      <c r="G194">
        <v>0</v>
      </c>
      <c r="H194" s="1">
        <f t="shared" ref="H194:H257" si="8">DATE(LEFT(A194,4),MID(A194,5,2),RIGHT(A194,2))</f>
        <v>45733</v>
      </c>
      <c r="I194">
        <f t="shared" ref="I194:I257" si="9">WEEKNUM(H194)</f>
        <v>12</v>
      </c>
      <c r="L194" s="8"/>
    </row>
    <row r="195" spans="1:12" x14ac:dyDescent="0.2">
      <c r="A195">
        <v>20250318</v>
      </c>
      <c r="B195" t="s">
        <v>19</v>
      </c>
      <c r="C195" t="s">
        <v>8</v>
      </c>
      <c r="D195">
        <v>2</v>
      </c>
      <c r="E195">
        <v>1</v>
      </c>
      <c r="F195">
        <v>0</v>
      </c>
      <c r="G195">
        <v>0</v>
      </c>
      <c r="H195" s="1">
        <f t="shared" si="8"/>
        <v>45734</v>
      </c>
      <c r="I195">
        <f t="shared" si="9"/>
        <v>12</v>
      </c>
      <c r="L195" s="8"/>
    </row>
    <row r="196" spans="1:12" x14ac:dyDescent="0.2">
      <c r="A196">
        <v>20250318</v>
      </c>
      <c r="B196" t="s">
        <v>7</v>
      </c>
      <c r="C196" t="s">
        <v>8</v>
      </c>
      <c r="D196">
        <v>1</v>
      </c>
      <c r="E196">
        <v>66</v>
      </c>
      <c r="F196">
        <v>0</v>
      </c>
      <c r="G196">
        <v>0</v>
      </c>
      <c r="H196" s="1">
        <f t="shared" si="8"/>
        <v>45734</v>
      </c>
      <c r="I196">
        <f t="shared" si="9"/>
        <v>12</v>
      </c>
      <c r="L196" s="8"/>
    </row>
    <row r="197" spans="1:12" x14ac:dyDescent="0.2">
      <c r="A197">
        <v>20250318</v>
      </c>
      <c r="B197" t="s">
        <v>9</v>
      </c>
      <c r="C197" t="s">
        <v>8</v>
      </c>
      <c r="D197">
        <v>2</v>
      </c>
      <c r="E197">
        <v>6</v>
      </c>
      <c r="F197">
        <v>0</v>
      </c>
      <c r="G197">
        <v>0</v>
      </c>
      <c r="H197" s="1">
        <f t="shared" si="8"/>
        <v>45734</v>
      </c>
      <c r="I197">
        <f t="shared" si="9"/>
        <v>12</v>
      </c>
      <c r="L197" s="8"/>
    </row>
    <row r="198" spans="1:12" x14ac:dyDescent="0.2">
      <c r="A198">
        <v>20250318</v>
      </c>
      <c r="B198" t="s">
        <v>10</v>
      </c>
      <c r="C198" t="s">
        <v>26</v>
      </c>
      <c r="D198">
        <v>3</v>
      </c>
      <c r="E198">
        <v>1</v>
      </c>
      <c r="F198">
        <v>0</v>
      </c>
      <c r="G198">
        <v>1</v>
      </c>
      <c r="H198" s="1">
        <f t="shared" si="8"/>
        <v>45734</v>
      </c>
      <c r="I198">
        <f t="shared" si="9"/>
        <v>12</v>
      </c>
      <c r="L198" s="8"/>
    </row>
    <row r="199" spans="1:12" x14ac:dyDescent="0.2">
      <c r="A199">
        <v>20250318</v>
      </c>
      <c r="B199" t="s">
        <v>10</v>
      </c>
      <c r="C199" t="s">
        <v>28</v>
      </c>
      <c r="D199">
        <v>1</v>
      </c>
      <c r="E199">
        <v>23</v>
      </c>
      <c r="F199">
        <v>0</v>
      </c>
      <c r="G199">
        <v>0</v>
      </c>
      <c r="H199" s="1">
        <f t="shared" si="8"/>
        <v>45734</v>
      </c>
      <c r="I199">
        <f t="shared" si="9"/>
        <v>12</v>
      </c>
      <c r="L199" s="8"/>
    </row>
    <row r="200" spans="1:12" x14ac:dyDescent="0.2">
      <c r="A200">
        <v>20250319</v>
      </c>
      <c r="B200" t="s">
        <v>19</v>
      </c>
      <c r="C200" t="s">
        <v>8</v>
      </c>
      <c r="D200">
        <v>1</v>
      </c>
      <c r="E200">
        <v>1</v>
      </c>
      <c r="F200">
        <v>0</v>
      </c>
      <c r="G200">
        <v>0</v>
      </c>
      <c r="H200" s="1">
        <f t="shared" si="8"/>
        <v>45735</v>
      </c>
      <c r="I200">
        <f t="shared" si="9"/>
        <v>12</v>
      </c>
      <c r="L200" s="8"/>
    </row>
    <row r="201" spans="1:12" x14ac:dyDescent="0.2">
      <c r="A201">
        <v>20250319</v>
      </c>
      <c r="B201" t="s">
        <v>12</v>
      </c>
      <c r="C201" t="s">
        <v>8</v>
      </c>
      <c r="D201">
        <v>3</v>
      </c>
      <c r="E201">
        <v>2</v>
      </c>
      <c r="F201">
        <v>0</v>
      </c>
      <c r="G201">
        <v>0</v>
      </c>
      <c r="H201" s="1">
        <f t="shared" si="8"/>
        <v>45735</v>
      </c>
      <c r="I201">
        <f t="shared" si="9"/>
        <v>12</v>
      </c>
      <c r="L201" s="8"/>
    </row>
    <row r="202" spans="1:12" x14ac:dyDescent="0.2">
      <c r="A202">
        <v>20250319</v>
      </c>
      <c r="B202" t="s">
        <v>7</v>
      </c>
      <c r="C202" t="s">
        <v>8</v>
      </c>
      <c r="D202">
        <v>1</v>
      </c>
      <c r="E202">
        <v>13</v>
      </c>
      <c r="F202">
        <v>0</v>
      </c>
      <c r="G202">
        <v>0</v>
      </c>
      <c r="H202" s="1">
        <f t="shared" si="8"/>
        <v>45735</v>
      </c>
      <c r="I202">
        <f t="shared" si="9"/>
        <v>12</v>
      </c>
      <c r="L202" s="8"/>
    </row>
    <row r="203" spans="1:12" x14ac:dyDescent="0.2">
      <c r="A203">
        <v>20250320</v>
      </c>
      <c r="B203" t="s">
        <v>10</v>
      </c>
      <c r="C203" t="s">
        <v>8</v>
      </c>
      <c r="D203">
        <v>1</v>
      </c>
      <c r="E203">
        <v>27</v>
      </c>
      <c r="F203">
        <v>0</v>
      </c>
      <c r="G203">
        <v>0</v>
      </c>
      <c r="H203" s="1">
        <f t="shared" si="8"/>
        <v>45736</v>
      </c>
      <c r="I203">
        <f t="shared" si="9"/>
        <v>12</v>
      </c>
      <c r="L203" s="8"/>
    </row>
    <row r="204" spans="1:12" x14ac:dyDescent="0.2">
      <c r="A204">
        <v>20250321</v>
      </c>
      <c r="B204" t="s">
        <v>10</v>
      </c>
      <c r="C204" t="s">
        <v>8</v>
      </c>
      <c r="D204">
        <v>2</v>
      </c>
      <c r="E204">
        <v>40</v>
      </c>
      <c r="F204">
        <v>0</v>
      </c>
      <c r="G204">
        <v>0</v>
      </c>
      <c r="H204" s="1">
        <f t="shared" si="8"/>
        <v>45737</v>
      </c>
      <c r="I204">
        <f t="shared" si="9"/>
        <v>12</v>
      </c>
      <c r="L204" s="8"/>
    </row>
    <row r="205" spans="1:12" x14ac:dyDescent="0.2">
      <c r="A205">
        <v>20250321</v>
      </c>
      <c r="B205" t="s">
        <v>10</v>
      </c>
      <c r="C205" t="s">
        <v>26</v>
      </c>
      <c r="D205">
        <v>1</v>
      </c>
      <c r="E205">
        <v>2</v>
      </c>
      <c r="F205">
        <v>0</v>
      </c>
      <c r="G205">
        <v>0</v>
      </c>
      <c r="H205" s="1">
        <f t="shared" si="8"/>
        <v>45737</v>
      </c>
      <c r="I205">
        <f t="shared" si="9"/>
        <v>12</v>
      </c>
      <c r="L205" s="8"/>
    </row>
    <row r="206" spans="1:12" x14ac:dyDescent="0.2">
      <c r="A206">
        <v>20250322</v>
      </c>
      <c r="B206" t="s">
        <v>7</v>
      </c>
      <c r="C206" t="s">
        <v>8</v>
      </c>
      <c r="D206">
        <v>2</v>
      </c>
      <c r="E206">
        <v>15</v>
      </c>
      <c r="F206">
        <v>0</v>
      </c>
      <c r="G206">
        <v>0</v>
      </c>
      <c r="H206" s="1">
        <f t="shared" si="8"/>
        <v>45738</v>
      </c>
      <c r="I206">
        <f t="shared" si="9"/>
        <v>12</v>
      </c>
      <c r="L206" s="8"/>
    </row>
    <row r="207" spans="1:12" x14ac:dyDescent="0.2">
      <c r="A207">
        <v>20250322</v>
      </c>
      <c r="B207" t="s">
        <v>23</v>
      </c>
      <c r="C207" t="s">
        <v>27</v>
      </c>
      <c r="D207">
        <v>3</v>
      </c>
      <c r="E207">
        <v>2</v>
      </c>
      <c r="F207">
        <v>0</v>
      </c>
      <c r="G207">
        <v>0</v>
      </c>
      <c r="H207" s="1">
        <f t="shared" si="8"/>
        <v>45738</v>
      </c>
      <c r="I207">
        <f t="shared" si="9"/>
        <v>12</v>
      </c>
      <c r="L207" s="8"/>
    </row>
    <row r="208" spans="1:12" x14ac:dyDescent="0.2">
      <c r="A208">
        <v>20250323</v>
      </c>
      <c r="B208" t="s">
        <v>7</v>
      </c>
      <c r="C208" t="s">
        <v>8</v>
      </c>
      <c r="D208">
        <v>2</v>
      </c>
      <c r="E208">
        <v>14</v>
      </c>
      <c r="F208">
        <v>0</v>
      </c>
      <c r="G208">
        <v>0</v>
      </c>
      <c r="H208" s="1">
        <f t="shared" si="8"/>
        <v>45739</v>
      </c>
      <c r="I208">
        <f t="shared" si="9"/>
        <v>13</v>
      </c>
      <c r="L208" s="8"/>
    </row>
    <row r="209" spans="1:12" x14ac:dyDescent="0.2">
      <c r="A209">
        <v>20250323</v>
      </c>
      <c r="B209" t="s">
        <v>9</v>
      </c>
      <c r="C209" t="s">
        <v>28</v>
      </c>
      <c r="D209">
        <v>1</v>
      </c>
      <c r="E209">
        <v>38</v>
      </c>
      <c r="F209">
        <v>0</v>
      </c>
      <c r="G209">
        <v>0</v>
      </c>
      <c r="H209" s="1">
        <f t="shared" si="8"/>
        <v>45739</v>
      </c>
      <c r="I209">
        <f t="shared" si="9"/>
        <v>13</v>
      </c>
      <c r="L209" s="8"/>
    </row>
    <row r="210" spans="1:12" x14ac:dyDescent="0.2">
      <c r="A210">
        <v>20250324</v>
      </c>
      <c r="B210" t="s">
        <v>9</v>
      </c>
      <c r="C210" t="s">
        <v>13</v>
      </c>
      <c r="D210">
        <v>3</v>
      </c>
      <c r="E210">
        <v>2</v>
      </c>
      <c r="F210">
        <v>0</v>
      </c>
      <c r="G210">
        <v>1</v>
      </c>
      <c r="H210" s="1">
        <f t="shared" si="8"/>
        <v>45740</v>
      </c>
      <c r="I210">
        <f t="shared" si="9"/>
        <v>13</v>
      </c>
      <c r="L210" s="8"/>
    </row>
    <row r="211" spans="1:12" x14ac:dyDescent="0.2">
      <c r="A211">
        <v>20250325</v>
      </c>
      <c r="B211" t="s">
        <v>7</v>
      </c>
      <c r="C211" t="s">
        <v>8</v>
      </c>
      <c r="D211">
        <v>1</v>
      </c>
      <c r="E211">
        <v>4</v>
      </c>
      <c r="F211">
        <v>0</v>
      </c>
      <c r="G211">
        <v>0</v>
      </c>
      <c r="H211" s="1">
        <f t="shared" si="8"/>
        <v>45741</v>
      </c>
      <c r="I211">
        <f t="shared" si="9"/>
        <v>13</v>
      </c>
      <c r="L211" s="8"/>
    </row>
    <row r="212" spans="1:12" x14ac:dyDescent="0.2">
      <c r="A212">
        <v>20250325</v>
      </c>
      <c r="B212" t="s">
        <v>10</v>
      </c>
      <c r="C212" t="s">
        <v>26</v>
      </c>
      <c r="D212">
        <v>1</v>
      </c>
      <c r="E212">
        <v>80</v>
      </c>
      <c r="F212">
        <v>0</v>
      </c>
      <c r="G212">
        <v>0</v>
      </c>
      <c r="H212" s="1">
        <f t="shared" si="8"/>
        <v>45741</v>
      </c>
      <c r="I212">
        <f t="shared" si="9"/>
        <v>13</v>
      </c>
      <c r="L212" s="8"/>
    </row>
    <row r="213" spans="1:12" x14ac:dyDescent="0.2">
      <c r="A213">
        <v>20250326</v>
      </c>
      <c r="B213" t="s">
        <v>7</v>
      </c>
      <c r="C213" t="s">
        <v>8</v>
      </c>
      <c r="D213">
        <v>1</v>
      </c>
      <c r="E213">
        <v>63</v>
      </c>
      <c r="F213">
        <v>0</v>
      </c>
      <c r="G213">
        <v>0</v>
      </c>
      <c r="H213" s="1">
        <f t="shared" si="8"/>
        <v>45742</v>
      </c>
      <c r="I213">
        <f t="shared" si="9"/>
        <v>13</v>
      </c>
      <c r="L213" s="8"/>
    </row>
    <row r="214" spans="1:12" x14ac:dyDescent="0.2">
      <c r="A214">
        <v>20250326</v>
      </c>
      <c r="B214" t="s">
        <v>10</v>
      </c>
      <c r="C214" t="s">
        <v>24</v>
      </c>
      <c r="D214">
        <v>2</v>
      </c>
      <c r="E214">
        <v>31</v>
      </c>
      <c r="F214">
        <v>0</v>
      </c>
      <c r="G214">
        <v>0</v>
      </c>
      <c r="H214" s="1">
        <f t="shared" si="8"/>
        <v>45742</v>
      </c>
      <c r="I214">
        <f t="shared" si="9"/>
        <v>13</v>
      </c>
      <c r="L214" s="8"/>
    </row>
    <row r="215" spans="1:12" x14ac:dyDescent="0.2">
      <c r="A215">
        <v>20250327</v>
      </c>
      <c r="B215" t="s">
        <v>7</v>
      </c>
      <c r="C215" t="s">
        <v>8</v>
      </c>
      <c r="D215">
        <v>5</v>
      </c>
      <c r="E215">
        <v>33</v>
      </c>
      <c r="F215">
        <v>0</v>
      </c>
      <c r="G215">
        <v>0</v>
      </c>
      <c r="H215" s="1">
        <f t="shared" si="8"/>
        <v>45743</v>
      </c>
      <c r="I215">
        <f t="shared" si="9"/>
        <v>13</v>
      </c>
      <c r="L215" s="8"/>
    </row>
    <row r="216" spans="1:12" x14ac:dyDescent="0.2">
      <c r="A216">
        <v>20250327</v>
      </c>
      <c r="B216" t="s">
        <v>10</v>
      </c>
      <c r="C216" t="s">
        <v>22</v>
      </c>
      <c r="D216">
        <v>4</v>
      </c>
      <c r="E216">
        <v>2</v>
      </c>
      <c r="F216">
        <v>0</v>
      </c>
      <c r="G216">
        <v>0</v>
      </c>
      <c r="H216" s="1">
        <f t="shared" si="8"/>
        <v>45743</v>
      </c>
      <c r="I216">
        <f t="shared" si="9"/>
        <v>13</v>
      </c>
      <c r="L216" s="8"/>
    </row>
    <row r="217" spans="1:12" x14ac:dyDescent="0.2">
      <c r="A217">
        <v>20250327</v>
      </c>
      <c r="B217" t="s">
        <v>10</v>
      </c>
      <c r="C217" t="s">
        <v>8</v>
      </c>
      <c r="D217">
        <v>1</v>
      </c>
      <c r="E217">
        <v>29</v>
      </c>
      <c r="F217">
        <v>0</v>
      </c>
      <c r="G217">
        <v>0</v>
      </c>
      <c r="H217" s="1">
        <f t="shared" si="8"/>
        <v>45743</v>
      </c>
      <c r="I217">
        <f t="shared" si="9"/>
        <v>13</v>
      </c>
      <c r="L217" s="8"/>
    </row>
    <row r="218" spans="1:12" x14ac:dyDescent="0.2">
      <c r="A218">
        <v>20250328</v>
      </c>
      <c r="B218" t="s">
        <v>12</v>
      </c>
      <c r="C218" t="s">
        <v>20</v>
      </c>
      <c r="D218">
        <v>4</v>
      </c>
      <c r="E218">
        <v>36.25</v>
      </c>
      <c r="F218">
        <v>0</v>
      </c>
      <c r="G218">
        <v>0</v>
      </c>
      <c r="H218" s="1">
        <f t="shared" si="8"/>
        <v>45744</v>
      </c>
      <c r="I218">
        <f t="shared" si="9"/>
        <v>13</v>
      </c>
      <c r="L218" s="8"/>
    </row>
    <row r="219" spans="1:12" x14ac:dyDescent="0.2">
      <c r="A219">
        <v>20250328</v>
      </c>
      <c r="B219" t="s">
        <v>7</v>
      </c>
      <c r="C219" t="s">
        <v>8</v>
      </c>
      <c r="D219">
        <v>1</v>
      </c>
      <c r="E219">
        <v>13</v>
      </c>
      <c r="F219">
        <v>0</v>
      </c>
      <c r="G219">
        <v>0</v>
      </c>
      <c r="H219" s="1">
        <f t="shared" si="8"/>
        <v>45744</v>
      </c>
      <c r="I219">
        <f t="shared" si="9"/>
        <v>13</v>
      </c>
      <c r="L219" s="8"/>
    </row>
    <row r="220" spans="1:12" x14ac:dyDescent="0.2">
      <c r="A220">
        <v>20250328</v>
      </c>
      <c r="B220" t="s">
        <v>23</v>
      </c>
      <c r="C220" t="s">
        <v>8</v>
      </c>
      <c r="D220">
        <v>2</v>
      </c>
      <c r="E220">
        <v>8</v>
      </c>
      <c r="F220">
        <v>0</v>
      </c>
      <c r="G220">
        <v>0</v>
      </c>
      <c r="H220" s="1">
        <f t="shared" si="8"/>
        <v>45744</v>
      </c>
      <c r="I220">
        <f t="shared" si="9"/>
        <v>13</v>
      </c>
      <c r="L220" s="8"/>
    </row>
    <row r="221" spans="1:12" x14ac:dyDescent="0.2">
      <c r="A221">
        <v>20250328</v>
      </c>
      <c r="B221" t="s">
        <v>9</v>
      </c>
      <c r="C221" t="s">
        <v>13</v>
      </c>
      <c r="D221">
        <v>2</v>
      </c>
      <c r="E221">
        <v>18.5</v>
      </c>
      <c r="F221">
        <v>0</v>
      </c>
      <c r="G221">
        <v>0</v>
      </c>
      <c r="H221" s="1">
        <f t="shared" si="8"/>
        <v>45744</v>
      </c>
      <c r="I221">
        <f t="shared" si="9"/>
        <v>13</v>
      </c>
      <c r="L221" s="8"/>
    </row>
    <row r="222" spans="1:12" x14ac:dyDescent="0.2">
      <c r="A222">
        <v>20250328</v>
      </c>
      <c r="B222" t="s">
        <v>9</v>
      </c>
      <c r="C222" t="s">
        <v>8</v>
      </c>
      <c r="D222">
        <v>1</v>
      </c>
      <c r="E222">
        <v>39</v>
      </c>
      <c r="F222">
        <v>0</v>
      </c>
      <c r="G222">
        <v>0</v>
      </c>
      <c r="H222" s="1">
        <f t="shared" si="8"/>
        <v>45744</v>
      </c>
      <c r="I222">
        <f t="shared" si="9"/>
        <v>13</v>
      </c>
      <c r="L222" s="8"/>
    </row>
    <row r="223" spans="1:12" x14ac:dyDescent="0.2">
      <c r="A223">
        <v>20250329</v>
      </c>
      <c r="B223" t="s">
        <v>7</v>
      </c>
      <c r="C223" t="s">
        <v>8</v>
      </c>
      <c r="D223">
        <v>1</v>
      </c>
      <c r="E223">
        <v>35</v>
      </c>
      <c r="F223">
        <v>0</v>
      </c>
      <c r="G223">
        <v>0</v>
      </c>
      <c r="H223" s="1">
        <f t="shared" si="8"/>
        <v>45745</v>
      </c>
      <c r="I223">
        <f t="shared" si="9"/>
        <v>13</v>
      </c>
      <c r="L223" s="8"/>
    </row>
    <row r="224" spans="1:12" x14ac:dyDescent="0.2">
      <c r="A224">
        <v>20250329</v>
      </c>
      <c r="B224" t="s">
        <v>7</v>
      </c>
      <c r="C224" t="s">
        <v>22</v>
      </c>
      <c r="D224">
        <v>1</v>
      </c>
      <c r="E224">
        <v>18</v>
      </c>
      <c r="F224">
        <v>0</v>
      </c>
      <c r="G224">
        <v>0</v>
      </c>
      <c r="H224" s="1">
        <f t="shared" si="8"/>
        <v>45745</v>
      </c>
      <c r="I224">
        <f t="shared" si="9"/>
        <v>13</v>
      </c>
      <c r="L224" s="8"/>
    </row>
    <row r="225" spans="1:12" x14ac:dyDescent="0.2">
      <c r="A225">
        <v>20250329</v>
      </c>
      <c r="B225" t="s">
        <v>9</v>
      </c>
      <c r="C225" t="s">
        <v>13</v>
      </c>
      <c r="D225">
        <v>1</v>
      </c>
      <c r="E225">
        <v>1</v>
      </c>
      <c r="F225">
        <v>0</v>
      </c>
      <c r="G225">
        <v>0</v>
      </c>
      <c r="H225" s="1">
        <f t="shared" si="8"/>
        <v>45745</v>
      </c>
      <c r="I225">
        <f t="shared" si="9"/>
        <v>13</v>
      </c>
      <c r="L225" s="8"/>
    </row>
    <row r="226" spans="1:12" x14ac:dyDescent="0.2">
      <c r="A226">
        <v>20250329</v>
      </c>
      <c r="B226" t="s">
        <v>9</v>
      </c>
      <c r="C226" t="s">
        <v>15</v>
      </c>
      <c r="D226">
        <v>1</v>
      </c>
      <c r="E226">
        <v>2</v>
      </c>
      <c r="F226">
        <v>0</v>
      </c>
      <c r="G226">
        <v>0</v>
      </c>
      <c r="H226" s="1">
        <f t="shared" si="8"/>
        <v>45745</v>
      </c>
      <c r="I226">
        <f t="shared" si="9"/>
        <v>13</v>
      </c>
      <c r="L226" s="8"/>
    </row>
    <row r="227" spans="1:12" x14ac:dyDescent="0.2">
      <c r="A227">
        <v>20250329</v>
      </c>
      <c r="B227" t="s">
        <v>10</v>
      </c>
      <c r="C227" t="s">
        <v>26</v>
      </c>
      <c r="D227">
        <v>1</v>
      </c>
      <c r="E227">
        <v>44</v>
      </c>
      <c r="F227">
        <v>0</v>
      </c>
      <c r="G227">
        <v>0</v>
      </c>
      <c r="H227" s="1">
        <f t="shared" si="8"/>
        <v>45745</v>
      </c>
      <c r="I227">
        <f t="shared" si="9"/>
        <v>13</v>
      </c>
      <c r="L227" s="8"/>
    </row>
    <row r="228" spans="1:12" x14ac:dyDescent="0.2">
      <c r="A228">
        <v>20250330</v>
      </c>
      <c r="B228" t="s">
        <v>16</v>
      </c>
      <c r="C228" t="s">
        <v>8</v>
      </c>
      <c r="D228">
        <v>1</v>
      </c>
      <c r="E228">
        <v>24</v>
      </c>
      <c r="F228">
        <v>0</v>
      </c>
      <c r="G228">
        <v>0</v>
      </c>
      <c r="H228" s="1">
        <f t="shared" si="8"/>
        <v>45746</v>
      </c>
      <c r="I228">
        <f t="shared" si="9"/>
        <v>14</v>
      </c>
      <c r="L228" s="8"/>
    </row>
    <row r="229" spans="1:12" x14ac:dyDescent="0.2">
      <c r="A229">
        <v>20250330</v>
      </c>
      <c r="B229" t="s">
        <v>7</v>
      </c>
      <c r="C229" t="s">
        <v>8</v>
      </c>
      <c r="D229">
        <v>3</v>
      </c>
      <c r="E229">
        <v>11</v>
      </c>
      <c r="F229">
        <v>0</v>
      </c>
      <c r="G229">
        <v>0</v>
      </c>
      <c r="H229" s="1">
        <f t="shared" si="8"/>
        <v>45746</v>
      </c>
      <c r="I229">
        <f t="shared" si="9"/>
        <v>14</v>
      </c>
      <c r="L229" s="8"/>
    </row>
    <row r="230" spans="1:12" x14ac:dyDescent="0.2">
      <c r="A230">
        <v>20250330</v>
      </c>
      <c r="B230" t="s">
        <v>10</v>
      </c>
      <c r="C230" t="s">
        <v>11</v>
      </c>
      <c r="D230">
        <v>1</v>
      </c>
      <c r="E230">
        <v>38</v>
      </c>
      <c r="F230">
        <v>0</v>
      </c>
      <c r="G230">
        <v>0</v>
      </c>
      <c r="H230" s="1">
        <f t="shared" si="8"/>
        <v>45746</v>
      </c>
      <c r="I230">
        <f t="shared" si="9"/>
        <v>14</v>
      </c>
      <c r="L230" s="8"/>
    </row>
    <row r="231" spans="1:12" x14ac:dyDescent="0.2">
      <c r="A231">
        <v>20250330</v>
      </c>
      <c r="B231" t="s">
        <v>10</v>
      </c>
      <c r="C231" t="s">
        <v>22</v>
      </c>
      <c r="D231">
        <v>1</v>
      </c>
      <c r="E231">
        <v>1</v>
      </c>
      <c r="F231">
        <v>0</v>
      </c>
      <c r="G231">
        <v>0</v>
      </c>
      <c r="H231" s="1">
        <f t="shared" si="8"/>
        <v>45746</v>
      </c>
      <c r="I231">
        <f t="shared" si="9"/>
        <v>14</v>
      </c>
      <c r="L231" s="8"/>
    </row>
    <row r="232" spans="1:12" x14ac:dyDescent="0.2">
      <c r="A232">
        <v>20250331</v>
      </c>
      <c r="B232" t="s">
        <v>7</v>
      </c>
      <c r="C232" t="s">
        <v>8</v>
      </c>
      <c r="D232">
        <v>2</v>
      </c>
      <c r="E232">
        <v>67</v>
      </c>
      <c r="F232">
        <v>0</v>
      </c>
      <c r="G232">
        <v>0</v>
      </c>
      <c r="H232" s="1">
        <f t="shared" si="8"/>
        <v>45747</v>
      </c>
      <c r="I232">
        <f t="shared" si="9"/>
        <v>14</v>
      </c>
      <c r="L232" s="8"/>
    </row>
    <row r="233" spans="1:12" x14ac:dyDescent="0.2">
      <c r="A233">
        <v>20250331</v>
      </c>
      <c r="B233" t="s">
        <v>10</v>
      </c>
      <c r="C233" t="s">
        <v>13</v>
      </c>
      <c r="D233">
        <v>1</v>
      </c>
      <c r="E233">
        <v>2</v>
      </c>
      <c r="F233">
        <v>0</v>
      </c>
      <c r="G233">
        <v>0</v>
      </c>
      <c r="H233" s="1">
        <f t="shared" si="8"/>
        <v>45747</v>
      </c>
      <c r="I233">
        <f t="shared" si="9"/>
        <v>14</v>
      </c>
      <c r="L233" s="8"/>
    </row>
    <row r="234" spans="1:12" x14ac:dyDescent="0.2">
      <c r="A234">
        <v>20250401</v>
      </c>
      <c r="B234" t="s">
        <v>16</v>
      </c>
      <c r="C234" t="s">
        <v>8</v>
      </c>
      <c r="D234">
        <v>4</v>
      </c>
      <c r="E234">
        <v>31.75</v>
      </c>
      <c r="F234">
        <v>0</v>
      </c>
      <c r="G234">
        <v>0</v>
      </c>
      <c r="H234" s="1">
        <f t="shared" si="8"/>
        <v>45748</v>
      </c>
      <c r="I234">
        <f t="shared" si="9"/>
        <v>14</v>
      </c>
      <c r="L234" s="8"/>
    </row>
    <row r="235" spans="1:12" x14ac:dyDescent="0.2">
      <c r="A235">
        <v>20250401</v>
      </c>
      <c r="B235" t="s">
        <v>16</v>
      </c>
      <c r="C235" t="s">
        <v>27</v>
      </c>
      <c r="D235">
        <v>1</v>
      </c>
      <c r="E235">
        <v>85</v>
      </c>
      <c r="F235">
        <v>0</v>
      </c>
      <c r="G235">
        <v>0</v>
      </c>
      <c r="H235" s="1">
        <f t="shared" si="8"/>
        <v>45748</v>
      </c>
      <c r="I235">
        <f t="shared" si="9"/>
        <v>14</v>
      </c>
      <c r="L235" s="8"/>
    </row>
    <row r="236" spans="1:12" x14ac:dyDescent="0.2">
      <c r="A236">
        <v>20250401</v>
      </c>
      <c r="B236" t="s">
        <v>7</v>
      </c>
      <c r="C236" t="s">
        <v>8</v>
      </c>
      <c r="D236">
        <v>2</v>
      </c>
      <c r="E236">
        <v>28.5</v>
      </c>
      <c r="F236">
        <v>0</v>
      </c>
      <c r="G236">
        <v>0</v>
      </c>
      <c r="H236" s="1">
        <f t="shared" si="8"/>
        <v>45748</v>
      </c>
      <c r="I236">
        <f t="shared" si="9"/>
        <v>14</v>
      </c>
      <c r="L236" s="8"/>
    </row>
    <row r="237" spans="1:12" x14ac:dyDescent="0.2">
      <c r="A237">
        <v>20250401</v>
      </c>
      <c r="B237" t="s">
        <v>9</v>
      </c>
      <c r="C237" t="s">
        <v>15</v>
      </c>
      <c r="D237">
        <v>2</v>
      </c>
      <c r="E237">
        <v>1</v>
      </c>
      <c r="F237">
        <v>0</v>
      </c>
      <c r="G237">
        <v>0</v>
      </c>
      <c r="H237" s="1">
        <f t="shared" si="8"/>
        <v>45748</v>
      </c>
      <c r="I237">
        <f t="shared" si="9"/>
        <v>14</v>
      </c>
      <c r="L237" s="8"/>
    </row>
    <row r="238" spans="1:12" x14ac:dyDescent="0.2">
      <c r="A238">
        <v>20250401</v>
      </c>
      <c r="B238" t="s">
        <v>10</v>
      </c>
      <c r="C238" t="s">
        <v>13</v>
      </c>
      <c r="D238">
        <v>1</v>
      </c>
      <c r="E238">
        <v>95</v>
      </c>
      <c r="F238">
        <v>0</v>
      </c>
      <c r="G238">
        <v>0</v>
      </c>
      <c r="H238" s="1">
        <f t="shared" si="8"/>
        <v>45748</v>
      </c>
      <c r="I238">
        <f t="shared" si="9"/>
        <v>14</v>
      </c>
      <c r="L238" s="8"/>
    </row>
    <row r="239" spans="1:12" x14ac:dyDescent="0.2">
      <c r="A239">
        <v>20250402</v>
      </c>
      <c r="B239" t="s">
        <v>16</v>
      </c>
      <c r="C239" t="s">
        <v>17</v>
      </c>
      <c r="D239">
        <v>4</v>
      </c>
      <c r="E239">
        <v>2</v>
      </c>
      <c r="F239">
        <v>0</v>
      </c>
      <c r="G239">
        <v>0</v>
      </c>
      <c r="H239" s="1">
        <f t="shared" si="8"/>
        <v>45749</v>
      </c>
      <c r="I239">
        <f t="shared" si="9"/>
        <v>14</v>
      </c>
      <c r="L239" s="8"/>
    </row>
    <row r="240" spans="1:12" x14ac:dyDescent="0.2">
      <c r="A240">
        <v>20250402</v>
      </c>
      <c r="B240" t="s">
        <v>16</v>
      </c>
      <c r="C240" t="s">
        <v>8</v>
      </c>
      <c r="D240">
        <v>2</v>
      </c>
      <c r="E240">
        <v>1</v>
      </c>
      <c r="F240">
        <v>0</v>
      </c>
      <c r="G240">
        <v>0</v>
      </c>
      <c r="H240" s="1">
        <f t="shared" si="8"/>
        <v>45749</v>
      </c>
      <c r="I240">
        <f t="shared" si="9"/>
        <v>14</v>
      </c>
      <c r="L240" s="8"/>
    </row>
    <row r="241" spans="1:12" x14ac:dyDescent="0.2">
      <c r="A241">
        <v>20250402</v>
      </c>
      <c r="B241" t="s">
        <v>7</v>
      </c>
      <c r="C241" t="s">
        <v>8</v>
      </c>
      <c r="D241">
        <v>1</v>
      </c>
      <c r="E241">
        <v>21</v>
      </c>
      <c r="F241">
        <v>0</v>
      </c>
      <c r="G241">
        <v>0</v>
      </c>
      <c r="H241" s="1">
        <f t="shared" si="8"/>
        <v>45749</v>
      </c>
      <c r="I241">
        <f t="shared" si="9"/>
        <v>14</v>
      </c>
      <c r="L241" s="8"/>
    </row>
    <row r="242" spans="1:12" x14ac:dyDescent="0.2">
      <c r="A242">
        <v>20250402</v>
      </c>
      <c r="B242" t="s">
        <v>10</v>
      </c>
      <c r="C242" t="s">
        <v>8</v>
      </c>
      <c r="D242">
        <v>1</v>
      </c>
      <c r="E242">
        <v>1</v>
      </c>
      <c r="F242">
        <v>0</v>
      </c>
      <c r="G242">
        <v>0</v>
      </c>
      <c r="H242" s="1">
        <f t="shared" si="8"/>
        <v>45749</v>
      </c>
      <c r="I242">
        <f t="shared" si="9"/>
        <v>14</v>
      </c>
      <c r="L242" s="8"/>
    </row>
    <row r="243" spans="1:12" x14ac:dyDescent="0.2">
      <c r="A243">
        <v>20250403</v>
      </c>
      <c r="B243" t="s">
        <v>16</v>
      </c>
      <c r="C243" t="s">
        <v>26</v>
      </c>
      <c r="D243">
        <v>2</v>
      </c>
      <c r="E243">
        <v>2</v>
      </c>
      <c r="F243">
        <v>0</v>
      </c>
      <c r="G243">
        <v>0</v>
      </c>
      <c r="H243" s="1">
        <f t="shared" si="8"/>
        <v>45750</v>
      </c>
      <c r="I243">
        <f t="shared" si="9"/>
        <v>14</v>
      </c>
      <c r="L243" s="8"/>
    </row>
    <row r="244" spans="1:12" x14ac:dyDescent="0.2">
      <c r="A244">
        <v>20250403</v>
      </c>
      <c r="B244" t="s">
        <v>9</v>
      </c>
      <c r="C244" t="s">
        <v>13</v>
      </c>
      <c r="D244">
        <v>3</v>
      </c>
      <c r="E244">
        <v>11.3333333333333</v>
      </c>
      <c r="F244">
        <v>0</v>
      </c>
      <c r="G244">
        <v>0</v>
      </c>
      <c r="H244" s="1">
        <f t="shared" si="8"/>
        <v>45750</v>
      </c>
      <c r="I244">
        <f t="shared" si="9"/>
        <v>14</v>
      </c>
      <c r="L244" s="8"/>
    </row>
    <row r="245" spans="1:12" x14ac:dyDescent="0.2">
      <c r="A245">
        <v>20250404</v>
      </c>
      <c r="B245" t="s">
        <v>7</v>
      </c>
      <c r="C245" t="s">
        <v>20</v>
      </c>
      <c r="D245">
        <v>1</v>
      </c>
      <c r="E245">
        <v>86</v>
      </c>
      <c r="F245">
        <v>0</v>
      </c>
      <c r="G245">
        <v>0</v>
      </c>
      <c r="H245" s="1">
        <f t="shared" si="8"/>
        <v>45751</v>
      </c>
      <c r="I245">
        <f t="shared" si="9"/>
        <v>14</v>
      </c>
      <c r="L245" s="8"/>
    </row>
    <row r="246" spans="1:12" x14ac:dyDescent="0.2">
      <c r="A246">
        <v>20250404</v>
      </c>
      <c r="B246" t="s">
        <v>7</v>
      </c>
      <c r="C246" t="s">
        <v>8</v>
      </c>
      <c r="D246">
        <v>1</v>
      </c>
      <c r="E246">
        <v>15</v>
      </c>
      <c r="F246">
        <v>0</v>
      </c>
      <c r="G246">
        <v>0</v>
      </c>
      <c r="H246" s="1">
        <f t="shared" si="8"/>
        <v>45751</v>
      </c>
      <c r="I246">
        <f t="shared" si="9"/>
        <v>14</v>
      </c>
      <c r="L246" s="8"/>
    </row>
    <row r="247" spans="1:12" x14ac:dyDescent="0.2">
      <c r="A247">
        <v>20250404</v>
      </c>
      <c r="B247" t="s">
        <v>9</v>
      </c>
      <c r="C247" t="s">
        <v>13</v>
      </c>
      <c r="D247">
        <v>1</v>
      </c>
      <c r="E247">
        <v>80</v>
      </c>
      <c r="F247">
        <v>0</v>
      </c>
      <c r="G247">
        <v>0</v>
      </c>
      <c r="H247" s="1">
        <f t="shared" si="8"/>
        <v>45751</v>
      </c>
      <c r="I247">
        <f t="shared" si="9"/>
        <v>14</v>
      </c>
      <c r="L247" s="8"/>
    </row>
    <row r="248" spans="1:12" x14ac:dyDescent="0.2">
      <c r="A248">
        <v>20250404</v>
      </c>
      <c r="B248" t="s">
        <v>10</v>
      </c>
      <c r="C248" t="s">
        <v>8</v>
      </c>
      <c r="D248">
        <v>1</v>
      </c>
      <c r="E248">
        <v>34</v>
      </c>
      <c r="F248">
        <v>0</v>
      </c>
      <c r="G248">
        <v>0</v>
      </c>
      <c r="H248" s="1">
        <f t="shared" si="8"/>
        <v>45751</v>
      </c>
      <c r="I248">
        <f t="shared" si="9"/>
        <v>14</v>
      </c>
      <c r="L248" s="8"/>
    </row>
    <row r="249" spans="1:12" x14ac:dyDescent="0.2">
      <c r="A249">
        <v>20250405</v>
      </c>
      <c r="B249" t="s">
        <v>7</v>
      </c>
      <c r="C249" t="s">
        <v>8</v>
      </c>
      <c r="D249">
        <v>3</v>
      </c>
      <c r="E249">
        <v>39</v>
      </c>
      <c r="F249">
        <v>0</v>
      </c>
      <c r="G249">
        <v>0</v>
      </c>
      <c r="H249" s="1">
        <f t="shared" si="8"/>
        <v>45752</v>
      </c>
      <c r="I249">
        <f t="shared" si="9"/>
        <v>14</v>
      </c>
      <c r="L249" s="8"/>
    </row>
    <row r="250" spans="1:12" x14ac:dyDescent="0.2">
      <c r="A250">
        <v>20250405</v>
      </c>
      <c r="B250" t="s">
        <v>9</v>
      </c>
      <c r="C250" t="s">
        <v>13</v>
      </c>
      <c r="D250">
        <v>3</v>
      </c>
      <c r="E250">
        <v>50.6666666666666</v>
      </c>
      <c r="F250">
        <v>0</v>
      </c>
      <c r="G250">
        <v>0</v>
      </c>
      <c r="H250" s="1">
        <f t="shared" si="8"/>
        <v>45752</v>
      </c>
      <c r="I250">
        <f t="shared" si="9"/>
        <v>14</v>
      </c>
      <c r="L250" s="8"/>
    </row>
    <row r="251" spans="1:12" x14ac:dyDescent="0.2">
      <c r="A251">
        <v>20250405</v>
      </c>
      <c r="B251" t="s">
        <v>10</v>
      </c>
      <c r="C251" t="s">
        <v>8</v>
      </c>
      <c r="D251">
        <v>4</v>
      </c>
      <c r="E251">
        <v>1</v>
      </c>
      <c r="F251">
        <v>0</v>
      </c>
      <c r="G251">
        <v>0</v>
      </c>
      <c r="H251" s="1">
        <f t="shared" si="8"/>
        <v>45752</v>
      </c>
      <c r="I251">
        <f t="shared" si="9"/>
        <v>14</v>
      </c>
      <c r="L251" s="8"/>
    </row>
    <row r="252" spans="1:12" x14ac:dyDescent="0.2">
      <c r="A252">
        <v>20250406</v>
      </c>
      <c r="B252" t="s">
        <v>7</v>
      </c>
      <c r="C252" t="s">
        <v>8</v>
      </c>
      <c r="D252">
        <v>4</v>
      </c>
      <c r="E252">
        <v>16</v>
      </c>
      <c r="F252">
        <v>0</v>
      </c>
      <c r="G252">
        <v>0</v>
      </c>
      <c r="H252" s="1">
        <f t="shared" si="8"/>
        <v>45753</v>
      </c>
      <c r="I252">
        <f t="shared" si="9"/>
        <v>15</v>
      </c>
      <c r="L252" s="8"/>
    </row>
    <row r="253" spans="1:12" x14ac:dyDescent="0.2">
      <c r="A253">
        <v>20250406</v>
      </c>
      <c r="B253" t="s">
        <v>14</v>
      </c>
      <c r="C253" t="s">
        <v>15</v>
      </c>
      <c r="D253">
        <v>3</v>
      </c>
      <c r="E253">
        <v>1</v>
      </c>
      <c r="F253">
        <v>0</v>
      </c>
      <c r="G253">
        <v>0</v>
      </c>
      <c r="H253" s="1">
        <f t="shared" si="8"/>
        <v>45753</v>
      </c>
      <c r="I253">
        <f t="shared" si="9"/>
        <v>15</v>
      </c>
      <c r="L253" s="8"/>
    </row>
    <row r="254" spans="1:12" x14ac:dyDescent="0.2">
      <c r="A254">
        <v>20250406</v>
      </c>
      <c r="B254" t="s">
        <v>9</v>
      </c>
      <c r="C254" t="s">
        <v>13</v>
      </c>
      <c r="D254">
        <v>2</v>
      </c>
      <c r="E254">
        <v>14</v>
      </c>
      <c r="F254">
        <v>0</v>
      </c>
      <c r="G254">
        <v>0</v>
      </c>
      <c r="H254" s="1">
        <f t="shared" si="8"/>
        <v>45753</v>
      </c>
      <c r="I254">
        <f t="shared" si="9"/>
        <v>15</v>
      </c>
      <c r="L254" s="8"/>
    </row>
    <row r="255" spans="1:12" x14ac:dyDescent="0.2">
      <c r="A255">
        <v>20250406</v>
      </c>
      <c r="B255" t="s">
        <v>9</v>
      </c>
      <c r="C255" t="s">
        <v>15</v>
      </c>
      <c r="D255">
        <v>2</v>
      </c>
      <c r="E255">
        <v>1</v>
      </c>
      <c r="F255">
        <v>0</v>
      </c>
      <c r="G255">
        <v>0</v>
      </c>
      <c r="H255" s="1">
        <f t="shared" si="8"/>
        <v>45753</v>
      </c>
      <c r="I255">
        <f t="shared" si="9"/>
        <v>15</v>
      </c>
      <c r="L255" s="8"/>
    </row>
    <row r="256" spans="1:12" x14ac:dyDescent="0.2">
      <c r="A256">
        <v>20250406</v>
      </c>
      <c r="B256" t="s">
        <v>9</v>
      </c>
      <c r="C256" t="s">
        <v>8</v>
      </c>
      <c r="D256">
        <v>2</v>
      </c>
      <c r="E256">
        <v>1</v>
      </c>
      <c r="F256">
        <v>0</v>
      </c>
      <c r="G256">
        <v>0</v>
      </c>
      <c r="H256" s="1">
        <f t="shared" si="8"/>
        <v>45753</v>
      </c>
      <c r="I256">
        <f t="shared" si="9"/>
        <v>15</v>
      </c>
      <c r="L256" s="8"/>
    </row>
    <row r="257" spans="1:12" x14ac:dyDescent="0.2">
      <c r="A257">
        <v>20250406</v>
      </c>
      <c r="B257" t="s">
        <v>10</v>
      </c>
      <c r="C257" t="s">
        <v>8</v>
      </c>
      <c r="D257">
        <v>1</v>
      </c>
      <c r="E257">
        <v>32</v>
      </c>
      <c r="F257">
        <v>0</v>
      </c>
      <c r="G257">
        <v>1</v>
      </c>
      <c r="H257" s="1">
        <f t="shared" si="8"/>
        <v>45753</v>
      </c>
      <c r="I257">
        <f t="shared" si="9"/>
        <v>15</v>
      </c>
      <c r="L257" s="8"/>
    </row>
    <row r="258" spans="1:12" x14ac:dyDescent="0.2">
      <c r="A258">
        <v>20250407</v>
      </c>
      <c r="B258" t="s">
        <v>16</v>
      </c>
      <c r="C258" t="s">
        <v>8</v>
      </c>
      <c r="D258">
        <v>1</v>
      </c>
      <c r="E258">
        <v>25</v>
      </c>
      <c r="F258">
        <v>0</v>
      </c>
      <c r="G258">
        <v>0</v>
      </c>
      <c r="H258" s="1">
        <f t="shared" ref="H258:H321" si="10">DATE(LEFT(A258,4),MID(A258,5,2),RIGHT(A258,2))</f>
        <v>45754</v>
      </c>
      <c r="I258">
        <f t="shared" ref="I258:I321" si="11">WEEKNUM(H258)</f>
        <v>15</v>
      </c>
      <c r="L258" s="8"/>
    </row>
    <row r="259" spans="1:12" x14ac:dyDescent="0.2">
      <c r="A259">
        <v>20250407</v>
      </c>
      <c r="B259" t="s">
        <v>7</v>
      </c>
      <c r="C259" t="s">
        <v>8</v>
      </c>
      <c r="D259">
        <v>4</v>
      </c>
      <c r="E259">
        <v>10.5</v>
      </c>
      <c r="F259">
        <v>0</v>
      </c>
      <c r="G259">
        <v>0</v>
      </c>
      <c r="H259" s="1">
        <f t="shared" si="10"/>
        <v>45754</v>
      </c>
      <c r="I259">
        <f t="shared" si="11"/>
        <v>15</v>
      </c>
      <c r="L259" s="8"/>
    </row>
    <row r="260" spans="1:12" x14ac:dyDescent="0.2">
      <c r="A260">
        <v>20250407</v>
      </c>
      <c r="B260" t="s">
        <v>7</v>
      </c>
      <c r="C260" t="s">
        <v>24</v>
      </c>
      <c r="D260">
        <v>1</v>
      </c>
      <c r="E260">
        <v>30</v>
      </c>
      <c r="F260">
        <v>0</v>
      </c>
      <c r="G260">
        <v>0</v>
      </c>
      <c r="H260" s="1">
        <f t="shared" si="10"/>
        <v>45754</v>
      </c>
      <c r="I260">
        <f t="shared" si="11"/>
        <v>15</v>
      </c>
      <c r="L260" s="8"/>
    </row>
    <row r="261" spans="1:12" x14ac:dyDescent="0.2">
      <c r="A261">
        <v>20250407</v>
      </c>
      <c r="B261" t="s">
        <v>9</v>
      </c>
      <c r="C261" t="s">
        <v>13</v>
      </c>
      <c r="D261">
        <v>3</v>
      </c>
      <c r="E261">
        <v>52</v>
      </c>
      <c r="F261">
        <v>0</v>
      </c>
      <c r="G261">
        <v>0</v>
      </c>
      <c r="H261" s="1">
        <f t="shared" si="10"/>
        <v>45754</v>
      </c>
      <c r="I261">
        <f t="shared" si="11"/>
        <v>15</v>
      </c>
      <c r="L261" s="8"/>
    </row>
    <row r="262" spans="1:12" x14ac:dyDescent="0.2">
      <c r="A262">
        <v>20250407</v>
      </c>
      <c r="B262" t="s">
        <v>10</v>
      </c>
      <c r="C262" t="s">
        <v>17</v>
      </c>
      <c r="D262">
        <v>3</v>
      </c>
      <c r="E262">
        <v>2</v>
      </c>
      <c r="F262">
        <v>0</v>
      </c>
      <c r="G262">
        <v>0</v>
      </c>
      <c r="H262" s="1">
        <f t="shared" si="10"/>
        <v>45754</v>
      </c>
      <c r="I262">
        <f t="shared" si="11"/>
        <v>15</v>
      </c>
      <c r="L262" s="8"/>
    </row>
    <row r="263" spans="1:12" x14ac:dyDescent="0.2">
      <c r="A263">
        <v>20250407</v>
      </c>
      <c r="B263" t="s">
        <v>10</v>
      </c>
      <c r="C263" t="s">
        <v>24</v>
      </c>
      <c r="D263">
        <v>1</v>
      </c>
      <c r="E263">
        <v>80</v>
      </c>
      <c r="F263">
        <v>0</v>
      </c>
      <c r="G263">
        <v>0</v>
      </c>
      <c r="H263" s="1">
        <f t="shared" si="10"/>
        <v>45754</v>
      </c>
      <c r="I263">
        <f t="shared" si="11"/>
        <v>15</v>
      </c>
      <c r="L263" s="8"/>
    </row>
    <row r="264" spans="1:12" x14ac:dyDescent="0.2">
      <c r="A264">
        <v>20250408</v>
      </c>
      <c r="B264" t="s">
        <v>16</v>
      </c>
      <c r="C264" t="s">
        <v>22</v>
      </c>
      <c r="D264">
        <v>1</v>
      </c>
      <c r="E264">
        <v>2</v>
      </c>
      <c r="F264">
        <v>0</v>
      </c>
      <c r="G264">
        <v>0</v>
      </c>
      <c r="H264" s="1">
        <f t="shared" si="10"/>
        <v>45755</v>
      </c>
      <c r="I264">
        <f t="shared" si="11"/>
        <v>15</v>
      </c>
      <c r="L264" s="8"/>
    </row>
    <row r="265" spans="1:12" x14ac:dyDescent="0.2">
      <c r="A265">
        <v>20250408</v>
      </c>
      <c r="B265" t="s">
        <v>7</v>
      </c>
      <c r="C265" t="s">
        <v>8</v>
      </c>
      <c r="D265">
        <v>1</v>
      </c>
      <c r="E265">
        <v>12</v>
      </c>
      <c r="F265">
        <v>0</v>
      </c>
      <c r="G265">
        <v>0</v>
      </c>
      <c r="H265" s="1">
        <f t="shared" si="10"/>
        <v>45755</v>
      </c>
      <c r="I265">
        <f t="shared" si="11"/>
        <v>15</v>
      </c>
      <c r="L265" s="8"/>
    </row>
    <row r="266" spans="1:12" x14ac:dyDescent="0.2">
      <c r="A266">
        <v>20250409</v>
      </c>
      <c r="B266" t="s">
        <v>9</v>
      </c>
      <c r="C266" t="s">
        <v>13</v>
      </c>
      <c r="D266">
        <v>1</v>
      </c>
      <c r="E266">
        <v>17</v>
      </c>
      <c r="F266">
        <v>0</v>
      </c>
      <c r="G266">
        <v>0</v>
      </c>
      <c r="H266" s="1">
        <f t="shared" si="10"/>
        <v>45756</v>
      </c>
      <c r="I266">
        <f t="shared" si="11"/>
        <v>15</v>
      </c>
      <c r="L266" s="8"/>
    </row>
    <row r="267" spans="1:12" x14ac:dyDescent="0.2">
      <c r="A267">
        <v>20250409</v>
      </c>
      <c r="B267" t="s">
        <v>10</v>
      </c>
      <c r="C267" t="s">
        <v>8</v>
      </c>
      <c r="D267">
        <v>2</v>
      </c>
      <c r="E267">
        <v>27</v>
      </c>
      <c r="F267">
        <v>0</v>
      </c>
      <c r="G267">
        <v>0</v>
      </c>
      <c r="H267" s="1">
        <f t="shared" si="10"/>
        <v>45756</v>
      </c>
      <c r="I267">
        <f t="shared" si="11"/>
        <v>15</v>
      </c>
      <c r="L267" s="8"/>
    </row>
    <row r="268" spans="1:12" x14ac:dyDescent="0.2">
      <c r="A268">
        <v>20250409</v>
      </c>
      <c r="B268" t="s">
        <v>10</v>
      </c>
      <c r="C268" t="s">
        <v>28</v>
      </c>
      <c r="D268">
        <v>1</v>
      </c>
      <c r="E268">
        <v>20</v>
      </c>
      <c r="F268">
        <v>0</v>
      </c>
      <c r="G268">
        <v>0</v>
      </c>
      <c r="H268" s="1">
        <f t="shared" si="10"/>
        <v>45756</v>
      </c>
      <c r="I268">
        <f t="shared" si="11"/>
        <v>15</v>
      </c>
      <c r="L268" s="8"/>
    </row>
    <row r="269" spans="1:12" x14ac:dyDescent="0.2">
      <c r="A269">
        <v>20250410</v>
      </c>
      <c r="B269" t="s">
        <v>7</v>
      </c>
      <c r="C269" t="s">
        <v>17</v>
      </c>
      <c r="D269">
        <v>3</v>
      </c>
      <c r="E269">
        <v>1</v>
      </c>
      <c r="F269">
        <v>0</v>
      </c>
      <c r="G269">
        <v>0</v>
      </c>
      <c r="H269" s="1">
        <f t="shared" si="10"/>
        <v>45757</v>
      </c>
      <c r="I269">
        <f t="shared" si="11"/>
        <v>15</v>
      </c>
      <c r="L269" s="8"/>
    </row>
    <row r="270" spans="1:12" x14ac:dyDescent="0.2">
      <c r="A270">
        <v>20250410</v>
      </c>
      <c r="B270" t="s">
        <v>10</v>
      </c>
      <c r="C270" t="s">
        <v>22</v>
      </c>
      <c r="D270">
        <v>3</v>
      </c>
      <c r="E270">
        <v>2</v>
      </c>
      <c r="F270">
        <v>0</v>
      </c>
      <c r="G270">
        <v>0</v>
      </c>
      <c r="H270" s="1">
        <f t="shared" si="10"/>
        <v>45757</v>
      </c>
      <c r="I270">
        <f t="shared" si="11"/>
        <v>15</v>
      </c>
      <c r="L270" s="8"/>
    </row>
    <row r="271" spans="1:12" x14ac:dyDescent="0.2">
      <c r="A271">
        <v>20250411</v>
      </c>
      <c r="B271" t="s">
        <v>7</v>
      </c>
      <c r="C271" t="s">
        <v>17</v>
      </c>
      <c r="D271">
        <v>1</v>
      </c>
      <c r="E271">
        <v>11</v>
      </c>
      <c r="F271">
        <v>0</v>
      </c>
      <c r="G271">
        <v>0</v>
      </c>
      <c r="H271" s="1">
        <f t="shared" si="10"/>
        <v>45758</v>
      </c>
      <c r="I271">
        <f t="shared" si="11"/>
        <v>15</v>
      </c>
      <c r="L271" s="8"/>
    </row>
    <row r="272" spans="1:12" x14ac:dyDescent="0.2">
      <c r="A272">
        <v>20250411</v>
      </c>
      <c r="B272" t="s">
        <v>7</v>
      </c>
      <c r="C272" t="s">
        <v>8</v>
      </c>
      <c r="D272">
        <v>1</v>
      </c>
      <c r="E272">
        <v>29</v>
      </c>
      <c r="F272">
        <v>0</v>
      </c>
      <c r="G272">
        <v>0</v>
      </c>
      <c r="H272" s="1">
        <f t="shared" si="10"/>
        <v>45758</v>
      </c>
      <c r="I272">
        <f t="shared" si="11"/>
        <v>15</v>
      </c>
      <c r="L272" s="8"/>
    </row>
    <row r="273" spans="1:12" x14ac:dyDescent="0.2">
      <c r="A273">
        <v>20250412</v>
      </c>
      <c r="B273" t="s">
        <v>19</v>
      </c>
      <c r="C273" t="s">
        <v>8</v>
      </c>
      <c r="D273">
        <v>2</v>
      </c>
      <c r="E273">
        <v>20</v>
      </c>
      <c r="F273">
        <v>0</v>
      </c>
      <c r="G273">
        <v>0</v>
      </c>
      <c r="H273" s="1">
        <f t="shared" si="10"/>
        <v>45759</v>
      </c>
      <c r="I273">
        <f t="shared" si="11"/>
        <v>15</v>
      </c>
      <c r="L273" s="8"/>
    </row>
    <row r="274" spans="1:12" x14ac:dyDescent="0.2">
      <c r="A274">
        <v>20250412</v>
      </c>
      <c r="B274" t="s">
        <v>16</v>
      </c>
      <c r="C274" t="s">
        <v>8</v>
      </c>
      <c r="D274">
        <v>1</v>
      </c>
      <c r="E274">
        <v>1</v>
      </c>
      <c r="F274">
        <v>0</v>
      </c>
      <c r="G274">
        <v>0</v>
      </c>
      <c r="H274" s="1">
        <f t="shared" si="10"/>
        <v>45759</v>
      </c>
      <c r="I274">
        <f t="shared" si="11"/>
        <v>15</v>
      </c>
      <c r="L274" s="8"/>
    </row>
    <row r="275" spans="1:12" x14ac:dyDescent="0.2">
      <c r="A275">
        <v>20250412</v>
      </c>
      <c r="B275" t="s">
        <v>9</v>
      </c>
      <c r="C275" t="s">
        <v>13</v>
      </c>
      <c r="D275">
        <v>3</v>
      </c>
      <c r="E275">
        <v>1</v>
      </c>
      <c r="F275">
        <v>0</v>
      </c>
      <c r="G275">
        <v>0</v>
      </c>
      <c r="H275" s="1">
        <f t="shared" si="10"/>
        <v>45759</v>
      </c>
      <c r="I275">
        <f t="shared" si="11"/>
        <v>15</v>
      </c>
      <c r="L275" s="8"/>
    </row>
    <row r="276" spans="1:12" x14ac:dyDescent="0.2">
      <c r="A276">
        <v>20250413</v>
      </c>
      <c r="B276" t="s">
        <v>7</v>
      </c>
      <c r="C276" t="s">
        <v>8</v>
      </c>
      <c r="D276">
        <v>1</v>
      </c>
      <c r="E276">
        <v>15</v>
      </c>
      <c r="F276">
        <v>0</v>
      </c>
      <c r="G276">
        <v>0</v>
      </c>
      <c r="H276" s="1">
        <f t="shared" si="10"/>
        <v>45760</v>
      </c>
      <c r="I276">
        <f t="shared" si="11"/>
        <v>16</v>
      </c>
      <c r="L276" s="8"/>
    </row>
    <row r="277" spans="1:12" x14ac:dyDescent="0.2">
      <c r="A277">
        <v>20250413</v>
      </c>
      <c r="B277" t="s">
        <v>10</v>
      </c>
      <c r="C277" t="s">
        <v>31</v>
      </c>
      <c r="D277">
        <v>1</v>
      </c>
      <c r="E277">
        <v>1</v>
      </c>
      <c r="F277">
        <v>0</v>
      </c>
      <c r="G277">
        <v>0</v>
      </c>
      <c r="H277" s="1">
        <f t="shared" si="10"/>
        <v>45760</v>
      </c>
      <c r="I277">
        <f t="shared" si="11"/>
        <v>16</v>
      </c>
      <c r="L277" s="8"/>
    </row>
    <row r="278" spans="1:12" x14ac:dyDescent="0.2">
      <c r="A278">
        <v>20250414</v>
      </c>
      <c r="B278" t="s">
        <v>12</v>
      </c>
      <c r="C278" t="s">
        <v>15</v>
      </c>
      <c r="D278">
        <v>1</v>
      </c>
      <c r="E278">
        <v>1</v>
      </c>
      <c r="F278">
        <v>0</v>
      </c>
      <c r="G278">
        <v>0</v>
      </c>
      <c r="H278" s="1">
        <f t="shared" si="10"/>
        <v>45761</v>
      </c>
      <c r="I278">
        <f t="shared" si="11"/>
        <v>16</v>
      </c>
      <c r="L278" s="8"/>
    </row>
    <row r="279" spans="1:12" x14ac:dyDescent="0.2">
      <c r="A279">
        <v>20250414</v>
      </c>
      <c r="B279" t="s">
        <v>16</v>
      </c>
      <c r="C279" t="s">
        <v>8</v>
      </c>
      <c r="D279">
        <v>1</v>
      </c>
      <c r="E279">
        <v>1</v>
      </c>
      <c r="F279">
        <v>0</v>
      </c>
      <c r="G279">
        <v>0</v>
      </c>
      <c r="H279" s="1">
        <f t="shared" si="10"/>
        <v>45761</v>
      </c>
      <c r="I279">
        <f t="shared" si="11"/>
        <v>16</v>
      </c>
      <c r="L279" s="8"/>
    </row>
    <row r="280" spans="1:12" x14ac:dyDescent="0.2">
      <c r="A280">
        <v>20250414</v>
      </c>
      <c r="B280" t="s">
        <v>7</v>
      </c>
      <c r="C280" t="s">
        <v>8</v>
      </c>
      <c r="D280">
        <v>1</v>
      </c>
      <c r="E280">
        <v>23</v>
      </c>
      <c r="F280">
        <v>0</v>
      </c>
      <c r="G280">
        <v>0</v>
      </c>
      <c r="H280" s="1">
        <f t="shared" si="10"/>
        <v>45761</v>
      </c>
      <c r="I280">
        <f t="shared" si="11"/>
        <v>16</v>
      </c>
      <c r="L280" s="8"/>
    </row>
    <row r="281" spans="1:12" x14ac:dyDescent="0.2">
      <c r="A281">
        <v>20250414</v>
      </c>
      <c r="B281" t="s">
        <v>7</v>
      </c>
      <c r="C281" t="s">
        <v>17</v>
      </c>
      <c r="D281">
        <v>1</v>
      </c>
      <c r="E281">
        <v>1</v>
      </c>
      <c r="F281">
        <v>0</v>
      </c>
      <c r="G281">
        <v>0</v>
      </c>
      <c r="H281" s="1">
        <f t="shared" si="10"/>
        <v>45761</v>
      </c>
      <c r="I281">
        <f t="shared" si="11"/>
        <v>16</v>
      </c>
      <c r="L281" s="8"/>
    </row>
    <row r="282" spans="1:12" x14ac:dyDescent="0.2">
      <c r="A282">
        <v>20250414</v>
      </c>
      <c r="B282" t="s">
        <v>10</v>
      </c>
      <c r="C282" t="s">
        <v>15</v>
      </c>
      <c r="D282">
        <v>3</v>
      </c>
      <c r="E282">
        <v>1</v>
      </c>
      <c r="F282">
        <v>0</v>
      </c>
      <c r="G282">
        <v>0</v>
      </c>
      <c r="H282" s="1">
        <f t="shared" si="10"/>
        <v>45761</v>
      </c>
      <c r="I282">
        <f t="shared" si="11"/>
        <v>16</v>
      </c>
      <c r="L282" s="8"/>
    </row>
    <row r="283" spans="1:12" x14ac:dyDescent="0.2">
      <c r="A283">
        <v>20250415</v>
      </c>
      <c r="B283" t="s">
        <v>7</v>
      </c>
      <c r="C283" t="s">
        <v>17</v>
      </c>
      <c r="D283">
        <v>3</v>
      </c>
      <c r="E283">
        <v>1</v>
      </c>
      <c r="F283">
        <v>0</v>
      </c>
      <c r="G283">
        <v>0</v>
      </c>
      <c r="H283" s="1">
        <f t="shared" si="10"/>
        <v>45762</v>
      </c>
      <c r="I283">
        <f t="shared" si="11"/>
        <v>16</v>
      </c>
      <c r="L283" s="8"/>
    </row>
    <row r="284" spans="1:12" x14ac:dyDescent="0.2">
      <c r="A284">
        <v>20250415</v>
      </c>
      <c r="B284" t="s">
        <v>9</v>
      </c>
      <c r="C284" t="s">
        <v>8</v>
      </c>
      <c r="D284">
        <v>3</v>
      </c>
      <c r="E284">
        <v>2</v>
      </c>
      <c r="F284">
        <v>0</v>
      </c>
      <c r="G284">
        <v>0</v>
      </c>
      <c r="H284" s="1">
        <f t="shared" si="10"/>
        <v>45762</v>
      </c>
      <c r="I284">
        <f t="shared" si="11"/>
        <v>16</v>
      </c>
      <c r="L284" s="8"/>
    </row>
    <row r="285" spans="1:12" x14ac:dyDescent="0.2">
      <c r="A285">
        <v>20250415</v>
      </c>
      <c r="B285" t="s">
        <v>10</v>
      </c>
      <c r="C285" t="s">
        <v>8</v>
      </c>
      <c r="D285">
        <v>1</v>
      </c>
      <c r="E285">
        <v>18</v>
      </c>
      <c r="F285">
        <v>0</v>
      </c>
      <c r="G285">
        <v>0</v>
      </c>
      <c r="H285" s="1">
        <f t="shared" si="10"/>
        <v>45762</v>
      </c>
      <c r="I285">
        <f t="shared" si="11"/>
        <v>16</v>
      </c>
      <c r="L285" s="8"/>
    </row>
    <row r="286" spans="1:12" x14ac:dyDescent="0.2">
      <c r="A286">
        <v>20250416</v>
      </c>
      <c r="B286" t="s">
        <v>7</v>
      </c>
      <c r="C286" t="s">
        <v>22</v>
      </c>
      <c r="D286">
        <v>1</v>
      </c>
      <c r="E286">
        <v>40</v>
      </c>
      <c r="F286">
        <v>0</v>
      </c>
      <c r="G286">
        <v>0</v>
      </c>
      <c r="H286" s="1">
        <f t="shared" si="10"/>
        <v>45763</v>
      </c>
      <c r="I286">
        <f t="shared" si="11"/>
        <v>16</v>
      </c>
      <c r="L286" s="8"/>
    </row>
    <row r="287" spans="1:12" x14ac:dyDescent="0.2">
      <c r="A287">
        <v>20250416</v>
      </c>
      <c r="B287" t="s">
        <v>7</v>
      </c>
      <c r="C287" t="s">
        <v>8</v>
      </c>
      <c r="D287">
        <v>1</v>
      </c>
      <c r="E287">
        <v>46</v>
      </c>
      <c r="F287">
        <v>0</v>
      </c>
      <c r="G287">
        <v>7</v>
      </c>
      <c r="H287" s="1">
        <f t="shared" si="10"/>
        <v>45763</v>
      </c>
      <c r="I287">
        <f t="shared" si="11"/>
        <v>16</v>
      </c>
      <c r="L287" s="8"/>
    </row>
    <row r="288" spans="1:12" x14ac:dyDescent="0.2">
      <c r="A288">
        <v>20250416</v>
      </c>
      <c r="B288" t="s">
        <v>14</v>
      </c>
      <c r="C288" t="s">
        <v>8</v>
      </c>
      <c r="D288">
        <v>1</v>
      </c>
      <c r="E288">
        <v>26</v>
      </c>
      <c r="F288">
        <v>0</v>
      </c>
      <c r="G288">
        <v>0</v>
      </c>
      <c r="H288" s="1">
        <f t="shared" si="10"/>
        <v>45763</v>
      </c>
      <c r="I288">
        <f t="shared" si="11"/>
        <v>16</v>
      </c>
      <c r="L288" s="8"/>
    </row>
    <row r="289" spans="1:12" x14ac:dyDescent="0.2">
      <c r="A289">
        <v>20250416</v>
      </c>
      <c r="B289" t="s">
        <v>9</v>
      </c>
      <c r="C289" t="s">
        <v>8</v>
      </c>
      <c r="D289">
        <v>4</v>
      </c>
      <c r="E289">
        <v>1</v>
      </c>
      <c r="F289">
        <v>0</v>
      </c>
      <c r="G289">
        <v>0</v>
      </c>
      <c r="H289" s="1">
        <f t="shared" si="10"/>
        <v>45763</v>
      </c>
      <c r="I289">
        <f t="shared" si="11"/>
        <v>16</v>
      </c>
      <c r="L289" s="8"/>
    </row>
    <row r="290" spans="1:12" x14ac:dyDescent="0.2">
      <c r="A290">
        <v>20250417</v>
      </c>
      <c r="B290" t="s">
        <v>9</v>
      </c>
      <c r="C290" t="s">
        <v>8</v>
      </c>
      <c r="D290">
        <v>1</v>
      </c>
      <c r="E290">
        <v>1</v>
      </c>
      <c r="F290">
        <v>0</v>
      </c>
      <c r="G290">
        <v>0</v>
      </c>
      <c r="H290" s="1">
        <f t="shared" si="10"/>
        <v>45764</v>
      </c>
      <c r="I290">
        <f t="shared" si="11"/>
        <v>16</v>
      </c>
      <c r="L290" s="8"/>
    </row>
    <row r="291" spans="1:12" x14ac:dyDescent="0.2">
      <c r="A291">
        <v>20250418</v>
      </c>
      <c r="B291" t="s">
        <v>7</v>
      </c>
      <c r="C291" t="s">
        <v>8</v>
      </c>
      <c r="D291">
        <v>4</v>
      </c>
      <c r="E291">
        <v>75.25</v>
      </c>
      <c r="F291">
        <v>0</v>
      </c>
      <c r="G291">
        <v>0</v>
      </c>
      <c r="H291" s="1">
        <f t="shared" si="10"/>
        <v>45765</v>
      </c>
      <c r="I291">
        <f t="shared" si="11"/>
        <v>16</v>
      </c>
      <c r="L291" s="8"/>
    </row>
    <row r="292" spans="1:12" x14ac:dyDescent="0.2">
      <c r="A292">
        <v>20250418</v>
      </c>
      <c r="B292" t="s">
        <v>10</v>
      </c>
      <c r="C292" t="s">
        <v>8</v>
      </c>
      <c r="D292">
        <v>5</v>
      </c>
      <c r="E292">
        <v>39.200000000000003</v>
      </c>
      <c r="F292">
        <v>0</v>
      </c>
      <c r="G292">
        <v>5</v>
      </c>
      <c r="H292" s="1">
        <f t="shared" si="10"/>
        <v>45765</v>
      </c>
      <c r="I292">
        <f t="shared" si="11"/>
        <v>16</v>
      </c>
      <c r="L292" s="8"/>
    </row>
    <row r="293" spans="1:12" x14ac:dyDescent="0.2">
      <c r="A293">
        <v>20250419</v>
      </c>
      <c r="B293" t="s">
        <v>7</v>
      </c>
      <c r="C293" t="s">
        <v>8</v>
      </c>
      <c r="D293">
        <v>3</v>
      </c>
      <c r="E293">
        <v>58</v>
      </c>
      <c r="F293">
        <v>0</v>
      </c>
      <c r="G293">
        <v>0</v>
      </c>
      <c r="H293" s="1">
        <f t="shared" si="10"/>
        <v>45766</v>
      </c>
      <c r="I293">
        <f t="shared" si="11"/>
        <v>16</v>
      </c>
      <c r="L293" s="8"/>
    </row>
    <row r="294" spans="1:12" x14ac:dyDescent="0.2">
      <c r="A294">
        <v>20250420</v>
      </c>
      <c r="B294" t="s">
        <v>16</v>
      </c>
      <c r="C294" t="s">
        <v>22</v>
      </c>
      <c r="D294">
        <v>2</v>
      </c>
      <c r="E294">
        <v>1</v>
      </c>
      <c r="F294">
        <v>0</v>
      </c>
      <c r="G294">
        <v>0</v>
      </c>
      <c r="H294" s="1">
        <f t="shared" si="10"/>
        <v>45767</v>
      </c>
      <c r="I294">
        <f t="shared" si="11"/>
        <v>17</v>
      </c>
      <c r="L294" s="8"/>
    </row>
    <row r="295" spans="1:12" x14ac:dyDescent="0.2">
      <c r="A295">
        <v>20250420</v>
      </c>
      <c r="B295" t="s">
        <v>7</v>
      </c>
      <c r="C295" t="s">
        <v>8</v>
      </c>
      <c r="D295">
        <v>3</v>
      </c>
      <c r="E295">
        <v>15.3333333333333</v>
      </c>
      <c r="F295">
        <v>0</v>
      </c>
      <c r="G295">
        <v>0</v>
      </c>
      <c r="H295" s="1">
        <f t="shared" si="10"/>
        <v>45767</v>
      </c>
      <c r="I295">
        <f t="shared" si="11"/>
        <v>17</v>
      </c>
      <c r="L295" s="8"/>
    </row>
    <row r="296" spans="1:12" x14ac:dyDescent="0.2">
      <c r="A296">
        <v>20250420</v>
      </c>
      <c r="B296" t="s">
        <v>10</v>
      </c>
      <c r="C296" t="s">
        <v>8</v>
      </c>
      <c r="D296">
        <v>1</v>
      </c>
      <c r="E296">
        <v>20</v>
      </c>
      <c r="F296">
        <v>0</v>
      </c>
      <c r="G296">
        <v>0</v>
      </c>
      <c r="H296" s="1">
        <f t="shared" si="10"/>
        <v>45767</v>
      </c>
      <c r="I296">
        <f t="shared" si="11"/>
        <v>17</v>
      </c>
      <c r="L296" s="8"/>
    </row>
    <row r="297" spans="1:12" x14ac:dyDescent="0.2">
      <c r="A297">
        <v>20250421</v>
      </c>
      <c r="B297" t="s">
        <v>7</v>
      </c>
      <c r="C297" t="s">
        <v>13</v>
      </c>
      <c r="D297">
        <v>2</v>
      </c>
      <c r="E297">
        <v>45</v>
      </c>
      <c r="F297">
        <v>0</v>
      </c>
      <c r="G297">
        <v>0</v>
      </c>
      <c r="H297" s="1">
        <f t="shared" si="10"/>
        <v>45768</v>
      </c>
      <c r="I297">
        <f t="shared" si="11"/>
        <v>17</v>
      </c>
      <c r="L297" s="8"/>
    </row>
    <row r="298" spans="1:12" x14ac:dyDescent="0.2">
      <c r="A298">
        <v>20250421</v>
      </c>
      <c r="B298" t="s">
        <v>7</v>
      </c>
      <c r="C298" t="s">
        <v>8</v>
      </c>
      <c r="D298">
        <v>1</v>
      </c>
      <c r="E298">
        <v>55</v>
      </c>
      <c r="F298">
        <v>0</v>
      </c>
      <c r="G298">
        <v>0</v>
      </c>
      <c r="H298" s="1">
        <f t="shared" si="10"/>
        <v>45768</v>
      </c>
      <c r="I298">
        <f t="shared" si="11"/>
        <v>17</v>
      </c>
      <c r="L298" s="8"/>
    </row>
    <row r="299" spans="1:12" x14ac:dyDescent="0.2">
      <c r="A299">
        <v>20250421</v>
      </c>
      <c r="B299" t="s">
        <v>10</v>
      </c>
      <c r="C299" t="s">
        <v>8</v>
      </c>
      <c r="D299">
        <v>1</v>
      </c>
      <c r="E299">
        <v>16</v>
      </c>
      <c r="F299">
        <v>0</v>
      </c>
      <c r="G299">
        <v>0</v>
      </c>
      <c r="H299" s="1">
        <f t="shared" si="10"/>
        <v>45768</v>
      </c>
      <c r="I299">
        <f t="shared" si="11"/>
        <v>17</v>
      </c>
      <c r="L299" s="8"/>
    </row>
    <row r="300" spans="1:12" x14ac:dyDescent="0.2">
      <c r="A300">
        <v>20250422</v>
      </c>
      <c r="B300" t="s">
        <v>7</v>
      </c>
      <c r="C300" t="s">
        <v>8</v>
      </c>
      <c r="D300">
        <v>3</v>
      </c>
      <c r="E300">
        <v>8.3333333333333304</v>
      </c>
      <c r="F300">
        <v>0</v>
      </c>
      <c r="G300">
        <v>0</v>
      </c>
      <c r="H300" s="1">
        <f t="shared" si="10"/>
        <v>45769</v>
      </c>
      <c r="I300">
        <f t="shared" si="11"/>
        <v>17</v>
      </c>
      <c r="L300" s="8"/>
    </row>
    <row r="301" spans="1:12" x14ac:dyDescent="0.2">
      <c r="A301">
        <v>20250423</v>
      </c>
      <c r="B301" t="s">
        <v>19</v>
      </c>
      <c r="C301" t="s">
        <v>8</v>
      </c>
      <c r="D301">
        <v>1</v>
      </c>
      <c r="E301">
        <v>18</v>
      </c>
      <c r="F301">
        <v>0</v>
      </c>
      <c r="G301">
        <v>0</v>
      </c>
      <c r="H301" s="1">
        <f t="shared" si="10"/>
        <v>45770</v>
      </c>
      <c r="I301">
        <f t="shared" si="11"/>
        <v>17</v>
      </c>
      <c r="L301" s="8"/>
    </row>
    <row r="302" spans="1:12" x14ac:dyDescent="0.2">
      <c r="A302">
        <v>20250423</v>
      </c>
      <c r="B302" t="s">
        <v>9</v>
      </c>
      <c r="C302" t="s">
        <v>13</v>
      </c>
      <c r="D302">
        <v>1</v>
      </c>
      <c r="E302">
        <v>84</v>
      </c>
      <c r="F302">
        <v>0</v>
      </c>
      <c r="G302">
        <v>0</v>
      </c>
      <c r="H302" s="1">
        <f t="shared" si="10"/>
        <v>45770</v>
      </c>
      <c r="I302">
        <f t="shared" si="11"/>
        <v>17</v>
      </c>
      <c r="L302" s="8"/>
    </row>
    <row r="303" spans="1:12" x14ac:dyDescent="0.2">
      <c r="A303">
        <v>20250423</v>
      </c>
      <c r="B303" t="s">
        <v>10</v>
      </c>
      <c r="C303" t="s">
        <v>8</v>
      </c>
      <c r="D303">
        <v>1</v>
      </c>
      <c r="E303">
        <v>31</v>
      </c>
      <c r="F303">
        <v>0</v>
      </c>
      <c r="G303">
        <v>0</v>
      </c>
      <c r="H303" s="1">
        <f t="shared" si="10"/>
        <v>45770</v>
      </c>
      <c r="I303">
        <f t="shared" si="11"/>
        <v>17</v>
      </c>
      <c r="L303" s="8"/>
    </row>
    <row r="304" spans="1:12" x14ac:dyDescent="0.2">
      <c r="A304">
        <v>20250424</v>
      </c>
      <c r="B304" t="s">
        <v>16</v>
      </c>
      <c r="C304" t="s">
        <v>8</v>
      </c>
      <c r="D304">
        <v>2</v>
      </c>
      <c r="E304">
        <v>19</v>
      </c>
      <c r="F304">
        <v>0</v>
      </c>
      <c r="G304">
        <v>0</v>
      </c>
      <c r="H304" s="1">
        <f t="shared" si="10"/>
        <v>45771</v>
      </c>
      <c r="I304">
        <f t="shared" si="11"/>
        <v>17</v>
      </c>
      <c r="L304" s="8"/>
    </row>
    <row r="305" spans="1:12" x14ac:dyDescent="0.2">
      <c r="A305">
        <v>20250424</v>
      </c>
      <c r="B305" t="s">
        <v>10</v>
      </c>
      <c r="C305" t="s">
        <v>8</v>
      </c>
      <c r="D305">
        <v>4</v>
      </c>
      <c r="E305">
        <v>19.75</v>
      </c>
      <c r="F305">
        <v>0</v>
      </c>
      <c r="G305">
        <v>1</v>
      </c>
      <c r="H305" s="1">
        <f t="shared" si="10"/>
        <v>45771</v>
      </c>
      <c r="I305">
        <f t="shared" si="11"/>
        <v>17</v>
      </c>
      <c r="L305" s="8"/>
    </row>
    <row r="306" spans="1:12" x14ac:dyDescent="0.2">
      <c r="A306">
        <v>20250425</v>
      </c>
      <c r="B306" t="s">
        <v>7</v>
      </c>
      <c r="C306" t="s">
        <v>8</v>
      </c>
      <c r="D306">
        <v>1</v>
      </c>
      <c r="E306">
        <v>2</v>
      </c>
      <c r="F306">
        <v>0</v>
      </c>
      <c r="G306">
        <v>0</v>
      </c>
      <c r="H306" s="1">
        <f t="shared" si="10"/>
        <v>45772</v>
      </c>
      <c r="I306">
        <f t="shared" si="11"/>
        <v>17</v>
      </c>
      <c r="L306" s="8"/>
    </row>
    <row r="307" spans="1:12" x14ac:dyDescent="0.2">
      <c r="A307">
        <v>20250425</v>
      </c>
      <c r="B307" t="s">
        <v>10</v>
      </c>
      <c r="C307" t="s">
        <v>25</v>
      </c>
      <c r="D307">
        <v>1</v>
      </c>
      <c r="E307">
        <v>46</v>
      </c>
      <c r="F307">
        <v>0</v>
      </c>
      <c r="G307">
        <v>0</v>
      </c>
      <c r="H307" s="1">
        <f t="shared" si="10"/>
        <v>45772</v>
      </c>
      <c r="I307">
        <f t="shared" si="11"/>
        <v>17</v>
      </c>
      <c r="L307" s="8"/>
    </row>
    <row r="308" spans="1:12" x14ac:dyDescent="0.2">
      <c r="A308">
        <v>20250426</v>
      </c>
      <c r="B308" t="s">
        <v>10</v>
      </c>
      <c r="C308" t="s">
        <v>8</v>
      </c>
      <c r="D308">
        <v>3</v>
      </c>
      <c r="E308">
        <v>41.6666666666666</v>
      </c>
      <c r="F308">
        <v>0</v>
      </c>
      <c r="G308">
        <v>0</v>
      </c>
      <c r="H308" s="1">
        <f t="shared" si="10"/>
        <v>45773</v>
      </c>
      <c r="I308">
        <f t="shared" si="11"/>
        <v>17</v>
      </c>
      <c r="L308" s="8"/>
    </row>
    <row r="309" spans="1:12" x14ac:dyDescent="0.2">
      <c r="A309">
        <v>20250426</v>
      </c>
      <c r="B309" t="s">
        <v>10</v>
      </c>
      <c r="C309" t="s">
        <v>24</v>
      </c>
      <c r="D309">
        <v>3</v>
      </c>
      <c r="E309">
        <v>37.6666666666666</v>
      </c>
      <c r="F309">
        <v>0</v>
      </c>
      <c r="G309">
        <v>0</v>
      </c>
      <c r="H309" s="1">
        <f t="shared" si="10"/>
        <v>45773</v>
      </c>
      <c r="I309">
        <f t="shared" si="11"/>
        <v>17</v>
      </c>
      <c r="L309" s="8"/>
    </row>
    <row r="310" spans="1:12" x14ac:dyDescent="0.2">
      <c r="A310">
        <v>20250426</v>
      </c>
      <c r="B310" t="s">
        <v>10</v>
      </c>
      <c r="C310" t="s">
        <v>31</v>
      </c>
      <c r="D310">
        <v>1</v>
      </c>
      <c r="E310">
        <v>48</v>
      </c>
      <c r="F310">
        <v>0</v>
      </c>
      <c r="G310">
        <v>0</v>
      </c>
      <c r="H310" s="1">
        <f t="shared" si="10"/>
        <v>45773</v>
      </c>
      <c r="I310">
        <f t="shared" si="11"/>
        <v>17</v>
      </c>
      <c r="L310" s="8"/>
    </row>
    <row r="311" spans="1:12" x14ac:dyDescent="0.2">
      <c r="A311">
        <v>20250427</v>
      </c>
      <c r="B311" t="s">
        <v>16</v>
      </c>
      <c r="C311" t="s">
        <v>8</v>
      </c>
      <c r="D311">
        <v>1</v>
      </c>
      <c r="E311">
        <v>30</v>
      </c>
      <c r="F311">
        <v>0</v>
      </c>
      <c r="G311">
        <v>0</v>
      </c>
      <c r="H311" s="1">
        <f t="shared" si="10"/>
        <v>45774</v>
      </c>
      <c r="I311">
        <f t="shared" si="11"/>
        <v>18</v>
      </c>
      <c r="L311" s="8"/>
    </row>
    <row r="312" spans="1:12" x14ac:dyDescent="0.2">
      <c r="A312">
        <v>20250427</v>
      </c>
      <c r="B312" t="s">
        <v>10</v>
      </c>
      <c r="C312" t="s">
        <v>8</v>
      </c>
      <c r="D312">
        <v>1</v>
      </c>
      <c r="E312">
        <v>40</v>
      </c>
      <c r="F312">
        <v>0</v>
      </c>
      <c r="G312">
        <v>0</v>
      </c>
      <c r="H312" s="1">
        <f t="shared" si="10"/>
        <v>45774</v>
      </c>
      <c r="I312">
        <f t="shared" si="11"/>
        <v>18</v>
      </c>
      <c r="L312" s="8"/>
    </row>
    <row r="313" spans="1:12" x14ac:dyDescent="0.2">
      <c r="A313">
        <v>20250427</v>
      </c>
      <c r="B313" t="s">
        <v>10</v>
      </c>
      <c r="C313" t="s">
        <v>22</v>
      </c>
      <c r="D313">
        <v>1</v>
      </c>
      <c r="E313">
        <v>1</v>
      </c>
      <c r="F313">
        <v>0</v>
      </c>
      <c r="G313">
        <v>0</v>
      </c>
      <c r="H313" s="1">
        <f t="shared" si="10"/>
        <v>45774</v>
      </c>
      <c r="I313">
        <f t="shared" si="11"/>
        <v>18</v>
      </c>
      <c r="L313" s="8"/>
    </row>
    <row r="314" spans="1:12" x14ac:dyDescent="0.2">
      <c r="A314">
        <v>20250428</v>
      </c>
      <c r="B314" t="s">
        <v>19</v>
      </c>
      <c r="C314" t="s">
        <v>8</v>
      </c>
      <c r="D314">
        <v>3</v>
      </c>
      <c r="E314">
        <v>15.3333333333333</v>
      </c>
      <c r="F314">
        <v>0</v>
      </c>
      <c r="G314">
        <v>0</v>
      </c>
      <c r="H314" s="1">
        <f t="shared" si="10"/>
        <v>45775</v>
      </c>
      <c r="I314">
        <f t="shared" si="11"/>
        <v>18</v>
      </c>
      <c r="L314" s="8"/>
    </row>
    <row r="315" spans="1:12" x14ac:dyDescent="0.2">
      <c r="A315">
        <v>20250428</v>
      </c>
      <c r="B315" t="s">
        <v>12</v>
      </c>
      <c r="C315" t="s">
        <v>20</v>
      </c>
      <c r="D315">
        <v>1</v>
      </c>
      <c r="E315">
        <v>15</v>
      </c>
      <c r="F315">
        <v>0</v>
      </c>
      <c r="G315">
        <v>0</v>
      </c>
      <c r="H315" s="1">
        <f t="shared" si="10"/>
        <v>45775</v>
      </c>
      <c r="I315">
        <f t="shared" si="11"/>
        <v>18</v>
      </c>
      <c r="L315" s="8"/>
    </row>
    <row r="316" spans="1:12" x14ac:dyDescent="0.2">
      <c r="A316">
        <v>20250428</v>
      </c>
      <c r="B316" t="s">
        <v>12</v>
      </c>
      <c r="C316" t="s">
        <v>8</v>
      </c>
      <c r="D316">
        <v>1</v>
      </c>
      <c r="E316">
        <v>37</v>
      </c>
      <c r="F316">
        <v>0</v>
      </c>
      <c r="G316">
        <v>0</v>
      </c>
      <c r="H316" s="1">
        <f t="shared" si="10"/>
        <v>45775</v>
      </c>
      <c r="I316">
        <f t="shared" si="11"/>
        <v>18</v>
      </c>
      <c r="L316" s="8"/>
    </row>
    <row r="317" spans="1:12" x14ac:dyDescent="0.2">
      <c r="A317">
        <v>20250428</v>
      </c>
      <c r="B317" t="s">
        <v>16</v>
      </c>
      <c r="C317" t="s">
        <v>8</v>
      </c>
      <c r="D317">
        <v>1</v>
      </c>
      <c r="E317">
        <v>37</v>
      </c>
      <c r="F317">
        <v>0</v>
      </c>
      <c r="G317">
        <v>0</v>
      </c>
      <c r="H317" s="1">
        <f t="shared" si="10"/>
        <v>45775</v>
      </c>
      <c r="I317">
        <f t="shared" si="11"/>
        <v>18</v>
      </c>
      <c r="L317" s="8"/>
    </row>
    <row r="318" spans="1:12" x14ac:dyDescent="0.2">
      <c r="A318">
        <v>20250428</v>
      </c>
      <c r="B318" t="s">
        <v>7</v>
      </c>
      <c r="C318" t="s">
        <v>8</v>
      </c>
      <c r="D318">
        <v>2</v>
      </c>
      <c r="E318">
        <v>63.5</v>
      </c>
      <c r="F318">
        <v>0</v>
      </c>
      <c r="G318">
        <v>0</v>
      </c>
      <c r="H318" s="1">
        <f t="shared" si="10"/>
        <v>45775</v>
      </c>
      <c r="I318">
        <f t="shared" si="11"/>
        <v>18</v>
      </c>
      <c r="L318" s="8"/>
    </row>
    <row r="319" spans="1:12" x14ac:dyDescent="0.2">
      <c r="A319">
        <v>20250428</v>
      </c>
      <c r="B319" t="s">
        <v>9</v>
      </c>
      <c r="C319" t="s">
        <v>8</v>
      </c>
      <c r="D319">
        <v>1</v>
      </c>
      <c r="E319">
        <v>21</v>
      </c>
      <c r="F319">
        <v>0</v>
      </c>
      <c r="G319">
        <v>0</v>
      </c>
      <c r="H319" s="1">
        <f t="shared" si="10"/>
        <v>45775</v>
      </c>
      <c r="I319">
        <f t="shared" si="11"/>
        <v>18</v>
      </c>
      <c r="L319" s="8"/>
    </row>
    <row r="320" spans="1:12" x14ac:dyDescent="0.2">
      <c r="A320">
        <v>20250428</v>
      </c>
      <c r="B320" t="s">
        <v>10</v>
      </c>
      <c r="C320" t="s">
        <v>8</v>
      </c>
      <c r="D320">
        <v>1</v>
      </c>
      <c r="E320">
        <v>21</v>
      </c>
      <c r="F320">
        <v>0</v>
      </c>
      <c r="G320">
        <v>0</v>
      </c>
      <c r="H320" s="1">
        <f t="shared" si="10"/>
        <v>45775</v>
      </c>
      <c r="I320">
        <f t="shared" si="11"/>
        <v>18</v>
      </c>
      <c r="L320" s="8"/>
    </row>
    <row r="321" spans="1:12" x14ac:dyDescent="0.2">
      <c r="A321">
        <v>20250429</v>
      </c>
      <c r="B321" t="s">
        <v>7</v>
      </c>
      <c r="C321" t="s">
        <v>8</v>
      </c>
      <c r="D321">
        <v>5</v>
      </c>
      <c r="E321">
        <v>25.8</v>
      </c>
      <c r="F321">
        <v>0</v>
      </c>
      <c r="G321">
        <v>0</v>
      </c>
      <c r="H321" s="1">
        <f t="shared" si="10"/>
        <v>45776</v>
      </c>
      <c r="I321">
        <f t="shared" si="11"/>
        <v>18</v>
      </c>
      <c r="L321" s="8"/>
    </row>
    <row r="322" spans="1:12" x14ac:dyDescent="0.2">
      <c r="A322">
        <v>20250429</v>
      </c>
      <c r="B322" t="s">
        <v>9</v>
      </c>
      <c r="C322" t="s">
        <v>15</v>
      </c>
      <c r="D322">
        <v>1</v>
      </c>
      <c r="E322">
        <v>2</v>
      </c>
      <c r="F322">
        <v>0</v>
      </c>
      <c r="G322">
        <v>0</v>
      </c>
      <c r="H322" s="1">
        <f t="shared" ref="H322:H385" si="12">DATE(LEFT(A322,4),MID(A322,5,2),RIGHT(A322,2))</f>
        <v>45776</v>
      </c>
      <c r="I322">
        <f t="shared" ref="I322:I385" si="13">WEEKNUM(H322)</f>
        <v>18</v>
      </c>
      <c r="L322" s="8"/>
    </row>
    <row r="323" spans="1:12" x14ac:dyDescent="0.2">
      <c r="A323">
        <v>20250430</v>
      </c>
      <c r="B323" t="s">
        <v>12</v>
      </c>
      <c r="C323" t="s">
        <v>15</v>
      </c>
      <c r="D323">
        <v>2</v>
      </c>
      <c r="E323">
        <v>1</v>
      </c>
      <c r="F323">
        <v>0</v>
      </c>
      <c r="G323">
        <v>0</v>
      </c>
      <c r="H323" s="1">
        <f t="shared" si="12"/>
        <v>45777</v>
      </c>
      <c r="I323">
        <f t="shared" si="13"/>
        <v>18</v>
      </c>
      <c r="L323" s="8"/>
    </row>
    <row r="324" spans="1:12" x14ac:dyDescent="0.2">
      <c r="A324">
        <v>20250430</v>
      </c>
      <c r="B324" t="s">
        <v>16</v>
      </c>
      <c r="C324" t="s">
        <v>18</v>
      </c>
      <c r="D324">
        <v>3</v>
      </c>
      <c r="E324">
        <v>1</v>
      </c>
      <c r="F324">
        <v>0</v>
      </c>
      <c r="G324">
        <v>0</v>
      </c>
      <c r="H324" s="1">
        <f t="shared" si="12"/>
        <v>45777</v>
      </c>
      <c r="I324">
        <f t="shared" si="13"/>
        <v>18</v>
      </c>
      <c r="L324" s="8"/>
    </row>
    <row r="325" spans="1:12" x14ac:dyDescent="0.2">
      <c r="A325">
        <v>20250430</v>
      </c>
      <c r="B325" t="s">
        <v>7</v>
      </c>
      <c r="C325" t="s">
        <v>8</v>
      </c>
      <c r="D325">
        <v>1</v>
      </c>
      <c r="E325">
        <v>33</v>
      </c>
      <c r="F325">
        <v>0</v>
      </c>
      <c r="G325">
        <v>0</v>
      </c>
      <c r="H325" s="1">
        <f t="shared" si="12"/>
        <v>45777</v>
      </c>
      <c r="I325">
        <f t="shared" si="13"/>
        <v>18</v>
      </c>
      <c r="L325" s="8"/>
    </row>
    <row r="326" spans="1:12" x14ac:dyDescent="0.2">
      <c r="A326">
        <v>20250430</v>
      </c>
      <c r="B326" t="s">
        <v>9</v>
      </c>
      <c r="C326" t="s">
        <v>15</v>
      </c>
      <c r="D326">
        <v>1</v>
      </c>
      <c r="E326">
        <v>2</v>
      </c>
      <c r="F326">
        <v>0</v>
      </c>
      <c r="G326">
        <v>0</v>
      </c>
      <c r="H326" s="1">
        <f t="shared" si="12"/>
        <v>45777</v>
      </c>
      <c r="I326">
        <f t="shared" si="13"/>
        <v>18</v>
      </c>
      <c r="L326" s="8"/>
    </row>
    <row r="327" spans="1:12" x14ac:dyDescent="0.2">
      <c r="A327">
        <v>20250430</v>
      </c>
      <c r="B327" t="s">
        <v>10</v>
      </c>
      <c r="C327" t="s">
        <v>8</v>
      </c>
      <c r="D327">
        <v>4</v>
      </c>
      <c r="E327">
        <v>1</v>
      </c>
      <c r="F327">
        <v>0</v>
      </c>
      <c r="G327">
        <v>0</v>
      </c>
      <c r="H327" s="1">
        <f t="shared" si="12"/>
        <v>45777</v>
      </c>
      <c r="I327">
        <f t="shared" si="13"/>
        <v>18</v>
      </c>
      <c r="L327" s="8"/>
    </row>
    <row r="328" spans="1:12" x14ac:dyDescent="0.2">
      <c r="A328">
        <v>20250430</v>
      </c>
      <c r="B328" t="s">
        <v>10</v>
      </c>
      <c r="C328" t="s">
        <v>11</v>
      </c>
      <c r="D328">
        <v>2</v>
      </c>
      <c r="E328">
        <v>1</v>
      </c>
      <c r="F328">
        <v>0</v>
      </c>
      <c r="G328">
        <v>0</v>
      </c>
      <c r="H328" s="1">
        <f t="shared" si="12"/>
        <v>45777</v>
      </c>
      <c r="I328">
        <f t="shared" si="13"/>
        <v>18</v>
      </c>
      <c r="L328" s="8"/>
    </row>
    <row r="329" spans="1:12" x14ac:dyDescent="0.2">
      <c r="A329">
        <v>20250501</v>
      </c>
      <c r="B329" t="s">
        <v>19</v>
      </c>
      <c r="C329" t="s">
        <v>8</v>
      </c>
      <c r="D329">
        <v>1</v>
      </c>
      <c r="E329">
        <v>18</v>
      </c>
      <c r="F329">
        <v>0</v>
      </c>
      <c r="G329">
        <v>0</v>
      </c>
      <c r="H329" s="1">
        <f t="shared" si="12"/>
        <v>45778</v>
      </c>
      <c r="I329">
        <f t="shared" si="13"/>
        <v>18</v>
      </c>
      <c r="L329" s="8"/>
    </row>
    <row r="330" spans="1:12" x14ac:dyDescent="0.2">
      <c r="A330">
        <v>20250501</v>
      </c>
      <c r="B330" t="s">
        <v>16</v>
      </c>
      <c r="C330" t="s">
        <v>8</v>
      </c>
      <c r="D330">
        <v>1</v>
      </c>
      <c r="E330">
        <v>25</v>
      </c>
      <c r="F330">
        <v>0</v>
      </c>
      <c r="G330">
        <v>0</v>
      </c>
      <c r="H330" s="1">
        <f t="shared" si="12"/>
        <v>45778</v>
      </c>
      <c r="I330">
        <f t="shared" si="13"/>
        <v>18</v>
      </c>
      <c r="L330" s="8"/>
    </row>
    <row r="331" spans="1:12" x14ac:dyDescent="0.2">
      <c r="A331">
        <v>20250501</v>
      </c>
      <c r="B331" t="s">
        <v>7</v>
      </c>
      <c r="C331" t="s">
        <v>8</v>
      </c>
      <c r="D331">
        <v>1</v>
      </c>
      <c r="E331">
        <v>33</v>
      </c>
      <c r="F331">
        <v>0</v>
      </c>
      <c r="G331">
        <v>0</v>
      </c>
      <c r="H331" s="1">
        <f t="shared" si="12"/>
        <v>45778</v>
      </c>
      <c r="I331">
        <f t="shared" si="13"/>
        <v>18</v>
      </c>
      <c r="L331" s="8"/>
    </row>
    <row r="332" spans="1:12" x14ac:dyDescent="0.2">
      <c r="A332">
        <v>20250501</v>
      </c>
      <c r="B332" t="s">
        <v>7</v>
      </c>
      <c r="C332" t="s">
        <v>24</v>
      </c>
      <c r="D332">
        <v>1</v>
      </c>
      <c r="E332">
        <v>24</v>
      </c>
      <c r="F332">
        <v>0</v>
      </c>
      <c r="G332">
        <v>0</v>
      </c>
      <c r="H332" s="1">
        <f t="shared" si="12"/>
        <v>45778</v>
      </c>
      <c r="I332">
        <f t="shared" si="13"/>
        <v>18</v>
      </c>
      <c r="L332" s="8"/>
    </row>
    <row r="333" spans="1:12" x14ac:dyDescent="0.2">
      <c r="A333">
        <v>20250501</v>
      </c>
      <c r="B333" t="s">
        <v>9</v>
      </c>
      <c r="C333" t="s">
        <v>13</v>
      </c>
      <c r="D333">
        <v>1</v>
      </c>
      <c r="E333">
        <v>45</v>
      </c>
      <c r="F333">
        <v>0</v>
      </c>
      <c r="G333">
        <v>0</v>
      </c>
      <c r="H333" s="1">
        <f t="shared" si="12"/>
        <v>45778</v>
      </c>
      <c r="I333">
        <f t="shared" si="13"/>
        <v>18</v>
      </c>
      <c r="L333" s="8"/>
    </row>
    <row r="334" spans="1:12" x14ac:dyDescent="0.2">
      <c r="A334">
        <v>20250502</v>
      </c>
      <c r="B334" t="s">
        <v>19</v>
      </c>
      <c r="C334" t="s">
        <v>15</v>
      </c>
      <c r="D334">
        <v>3</v>
      </c>
      <c r="E334">
        <v>1</v>
      </c>
      <c r="F334">
        <v>0</v>
      </c>
      <c r="G334">
        <v>0</v>
      </c>
      <c r="H334" s="1">
        <f t="shared" si="12"/>
        <v>45779</v>
      </c>
      <c r="I334">
        <f t="shared" si="13"/>
        <v>18</v>
      </c>
      <c r="L334" s="8"/>
    </row>
    <row r="335" spans="1:12" x14ac:dyDescent="0.2">
      <c r="A335">
        <v>20250502</v>
      </c>
      <c r="B335" t="s">
        <v>7</v>
      </c>
      <c r="C335" t="s">
        <v>8</v>
      </c>
      <c r="D335">
        <v>3</v>
      </c>
      <c r="E335">
        <v>14.6666666666666</v>
      </c>
      <c r="F335">
        <v>0</v>
      </c>
      <c r="G335">
        <v>0</v>
      </c>
      <c r="H335" s="1">
        <f t="shared" si="12"/>
        <v>45779</v>
      </c>
      <c r="I335">
        <f t="shared" si="13"/>
        <v>18</v>
      </c>
      <c r="L335" s="8"/>
    </row>
    <row r="336" spans="1:12" x14ac:dyDescent="0.2">
      <c r="A336">
        <v>20250502</v>
      </c>
      <c r="B336" t="s">
        <v>9</v>
      </c>
      <c r="C336" t="s">
        <v>13</v>
      </c>
      <c r="D336">
        <v>2</v>
      </c>
      <c r="E336">
        <v>48.5</v>
      </c>
      <c r="F336">
        <v>0</v>
      </c>
      <c r="G336">
        <v>0</v>
      </c>
      <c r="H336" s="1">
        <f t="shared" si="12"/>
        <v>45779</v>
      </c>
      <c r="I336">
        <f t="shared" si="13"/>
        <v>18</v>
      </c>
      <c r="L336" s="8"/>
    </row>
    <row r="337" spans="1:12" x14ac:dyDescent="0.2">
      <c r="A337">
        <v>20250503</v>
      </c>
      <c r="B337" t="s">
        <v>12</v>
      </c>
      <c r="C337" t="s">
        <v>13</v>
      </c>
      <c r="D337">
        <v>1</v>
      </c>
      <c r="E337">
        <v>78</v>
      </c>
      <c r="F337">
        <v>0</v>
      </c>
      <c r="G337">
        <v>0</v>
      </c>
      <c r="H337" s="1">
        <f t="shared" si="12"/>
        <v>45780</v>
      </c>
      <c r="I337">
        <f t="shared" si="13"/>
        <v>18</v>
      </c>
      <c r="L337" s="8"/>
    </row>
    <row r="338" spans="1:12" x14ac:dyDescent="0.2">
      <c r="A338">
        <v>20250503</v>
      </c>
      <c r="B338" t="s">
        <v>9</v>
      </c>
      <c r="C338" t="s">
        <v>13</v>
      </c>
      <c r="D338">
        <v>2</v>
      </c>
      <c r="E338">
        <v>2</v>
      </c>
      <c r="F338">
        <v>0</v>
      </c>
      <c r="G338">
        <v>0</v>
      </c>
      <c r="H338" s="1">
        <f t="shared" si="12"/>
        <v>45780</v>
      </c>
      <c r="I338">
        <f t="shared" si="13"/>
        <v>18</v>
      </c>
      <c r="L338" s="8"/>
    </row>
    <row r="339" spans="1:12" x14ac:dyDescent="0.2">
      <c r="A339">
        <v>20250503</v>
      </c>
      <c r="B339" t="s">
        <v>10</v>
      </c>
      <c r="C339" t="s">
        <v>13</v>
      </c>
      <c r="D339">
        <v>1</v>
      </c>
      <c r="E339">
        <v>2</v>
      </c>
      <c r="F339">
        <v>0</v>
      </c>
      <c r="G339">
        <v>0</v>
      </c>
      <c r="H339" s="1">
        <f t="shared" si="12"/>
        <v>45780</v>
      </c>
      <c r="I339">
        <f t="shared" si="13"/>
        <v>18</v>
      </c>
      <c r="L339" s="8"/>
    </row>
    <row r="340" spans="1:12" x14ac:dyDescent="0.2">
      <c r="A340">
        <v>20250504</v>
      </c>
      <c r="B340" t="s">
        <v>16</v>
      </c>
      <c r="C340" t="s">
        <v>8</v>
      </c>
      <c r="D340">
        <v>3</v>
      </c>
      <c r="E340">
        <v>36</v>
      </c>
      <c r="F340">
        <v>0</v>
      </c>
      <c r="G340">
        <v>0</v>
      </c>
      <c r="H340" s="1">
        <f t="shared" si="12"/>
        <v>45781</v>
      </c>
      <c r="I340">
        <f t="shared" si="13"/>
        <v>19</v>
      </c>
      <c r="L340" s="8"/>
    </row>
    <row r="341" spans="1:12" x14ac:dyDescent="0.2">
      <c r="A341">
        <v>20250504</v>
      </c>
      <c r="B341" t="s">
        <v>7</v>
      </c>
      <c r="C341" t="s">
        <v>8</v>
      </c>
      <c r="D341">
        <v>2</v>
      </c>
      <c r="E341">
        <v>24</v>
      </c>
      <c r="F341">
        <v>0</v>
      </c>
      <c r="G341">
        <v>4</v>
      </c>
      <c r="H341" s="1">
        <f t="shared" si="12"/>
        <v>45781</v>
      </c>
      <c r="I341">
        <f t="shared" si="13"/>
        <v>19</v>
      </c>
      <c r="L341" s="8"/>
    </row>
    <row r="342" spans="1:12" x14ac:dyDescent="0.2">
      <c r="A342">
        <v>20250504</v>
      </c>
      <c r="B342" t="s">
        <v>10</v>
      </c>
      <c r="C342" t="s">
        <v>22</v>
      </c>
      <c r="D342">
        <v>1</v>
      </c>
      <c r="E342">
        <v>1</v>
      </c>
      <c r="F342">
        <v>0</v>
      </c>
      <c r="G342">
        <v>0</v>
      </c>
      <c r="H342" s="1">
        <f t="shared" si="12"/>
        <v>45781</v>
      </c>
      <c r="I342">
        <f t="shared" si="13"/>
        <v>19</v>
      </c>
      <c r="L342" s="8"/>
    </row>
    <row r="343" spans="1:12" x14ac:dyDescent="0.2">
      <c r="A343">
        <v>20250505</v>
      </c>
      <c r="B343" t="s">
        <v>7</v>
      </c>
      <c r="C343" t="s">
        <v>8</v>
      </c>
      <c r="D343">
        <v>3</v>
      </c>
      <c r="E343">
        <v>22.3333333333333</v>
      </c>
      <c r="F343">
        <v>0</v>
      </c>
      <c r="G343">
        <v>0</v>
      </c>
      <c r="H343" s="1">
        <f t="shared" si="12"/>
        <v>45782</v>
      </c>
      <c r="I343">
        <f t="shared" si="13"/>
        <v>19</v>
      </c>
      <c r="L343" s="8"/>
    </row>
    <row r="344" spans="1:12" x14ac:dyDescent="0.2">
      <c r="A344">
        <v>20250505</v>
      </c>
      <c r="B344" t="s">
        <v>10</v>
      </c>
      <c r="C344" t="s">
        <v>28</v>
      </c>
      <c r="D344">
        <v>2</v>
      </c>
      <c r="E344">
        <v>41.5</v>
      </c>
      <c r="F344">
        <v>0</v>
      </c>
      <c r="G344">
        <v>0</v>
      </c>
      <c r="H344" s="1">
        <f t="shared" si="12"/>
        <v>45782</v>
      </c>
      <c r="I344">
        <f t="shared" si="13"/>
        <v>19</v>
      </c>
      <c r="L344" s="8"/>
    </row>
    <row r="345" spans="1:12" x14ac:dyDescent="0.2">
      <c r="A345">
        <v>20250505</v>
      </c>
      <c r="B345" t="s">
        <v>10</v>
      </c>
      <c r="C345" t="s">
        <v>8</v>
      </c>
      <c r="D345">
        <v>1</v>
      </c>
      <c r="E345">
        <v>7</v>
      </c>
      <c r="F345">
        <v>0</v>
      </c>
      <c r="G345">
        <v>0</v>
      </c>
      <c r="H345" s="1">
        <f t="shared" si="12"/>
        <v>45782</v>
      </c>
      <c r="I345">
        <f t="shared" si="13"/>
        <v>19</v>
      </c>
      <c r="L345" s="8"/>
    </row>
    <row r="346" spans="1:12" x14ac:dyDescent="0.2">
      <c r="A346">
        <v>20250506</v>
      </c>
      <c r="B346" t="s">
        <v>7</v>
      </c>
      <c r="C346" t="s">
        <v>24</v>
      </c>
      <c r="D346">
        <v>1</v>
      </c>
      <c r="E346">
        <v>33</v>
      </c>
      <c r="F346">
        <v>0</v>
      </c>
      <c r="G346">
        <v>0</v>
      </c>
      <c r="H346" s="1">
        <f t="shared" si="12"/>
        <v>45783</v>
      </c>
      <c r="I346">
        <f t="shared" si="13"/>
        <v>19</v>
      </c>
      <c r="L346" s="8"/>
    </row>
    <row r="347" spans="1:12" x14ac:dyDescent="0.2">
      <c r="A347">
        <v>20250506</v>
      </c>
      <c r="B347" t="s">
        <v>9</v>
      </c>
      <c r="C347" t="s">
        <v>18</v>
      </c>
      <c r="D347">
        <v>1</v>
      </c>
      <c r="E347">
        <v>1</v>
      </c>
      <c r="F347">
        <v>0</v>
      </c>
      <c r="G347">
        <v>0</v>
      </c>
      <c r="H347" s="1">
        <f t="shared" si="12"/>
        <v>45783</v>
      </c>
      <c r="I347">
        <f t="shared" si="13"/>
        <v>19</v>
      </c>
      <c r="L347" s="8"/>
    </row>
    <row r="348" spans="1:12" x14ac:dyDescent="0.2">
      <c r="A348">
        <v>20250506</v>
      </c>
      <c r="B348" t="s">
        <v>10</v>
      </c>
      <c r="C348" t="s">
        <v>22</v>
      </c>
      <c r="D348">
        <v>1</v>
      </c>
      <c r="E348">
        <v>15</v>
      </c>
      <c r="F348">
        <v>0</v>
      </c>
      <c r="G348">
        <v>0</v>
      </c>
      <c r="H348" s="1">
        <f t="shared" si="12"/>
        <v>45783</v>
      </c>
      <c r="I348">
        <f t="shared" si="13"/>
        <v>19</v>
      </c>
      <c r="L348" s="8"/>
    </row>
    <row r="349" spans="1:12" x14ac:dyDescent="0.2">
      <c r="A349">
        <v>20250507</v>
      </c>
      <c r="B349" t="s">
        <v>19</v>
      </c>
      <c r="C349" t="s">
        <v>8</v>
      </c>
      <c r="D349">
        <v>1</v>
      </c>
      <c r="E349">
        <v>1</v>
      </c>
      <c r="F349">
        <v>0</v>
      </c>
      <c r="G349">
        <v>0</v>
      </c>
      <c r="H349" s="1">
        <f t="shared" si="12"/>
        <v>45784</v>
      </c>
      <c r="I349">
        <f t="shared" si="13"/>
        <v>19</v>
      </c>
      <c r="L349" s="8"/>
    </row>
    <row r="350" spans="1:12" x14ac:dyDescent="0.2">
      <c r="A350">
        <v>20250507</v>
      </c>
      <c r="B350" t="s">
        <v>16</v>
      </c>
      <c r="C350" t="s">
        <v>8</v>
      </c>
      <c r="D350">
        <v>3</v>
      </c>
      <c r="E350">
        <v>18</v>
      </c>
      <c r="F350">
        <v>0</v>
      </c>
      <c r="G350">
        <v>0</v>
      </c>
      <c r="H350" s="1">
        <f t="shared" si="12"/>
        <v>45784</v>
      </c>
      <c r="I350">
        <f t="shared" si="13"/>
        <v>19</v>
      </c>
      <c r="L350" s="8"/>
    </row>
    <row r="351" spans="1:12" x14ac:dyDescent="0.2">
      <c r="A351">
        <v>20250507</v>
      </c>
      <c r="B351" t="s">
        <v>9</v>
      </c>
      <c r="C351" t="s">
        <v>8</v>
      </c>
      <c r="D351">
        <v>2</v>
      </c>
      <c r="E351">
        <v>1</v>
      </c>
      <c r="F351">
        <v>0</v>
      </c>
      <c r="G351">
        <v>0</v>
      </c>
      <c r="H351" s="1">
        <f t="shared" si="12"/>
        <v>45784</v>
      </c>
      <c r="I351">
        <f t="shared" si="13"/>
        <v>19</v>
      </c>
      <c r="L351" s="8"/>
    </row>
    <row r="352" spans="1:12" x14ac:dyDescent="0.2">
      <c r="A352">
        <v>20250508</v>
      </c>
      <c r="B352" t="s">
        <v>16</v>
      </c>
      <c r="C352" t="s">
        <v>8</v>
      </c>
      <c r="D352">
        <v>2</v>
      </c>
      <c r="E352">
        <v>28</v>
      </c>
      <c r="F352">
        <v>0</v>
      </c>
      <c r="G352">
        <v>0</v>
      </c>
      <c r="H352" s="1">
        <f t="shared" si="12"/>
        <v>45785</v>
      </c>
      <c r="I352">
        <f t="shared" si="13"/>
        <v>19</v>
      </c>
      <c r="L352" s="8"/>
    </row>
    <row r="353" spans="1:12" x14ac:dyDescent="0.2">
      <c r="A353">
        <v>20250508</v>
      </c>
      <c r="B353" t="s">
        <v>7</v>
      </c>
      <c r="C353" t="s">
        <v>8</v>
      </c>
      <c r="D353">
        <v>5</v>
      </c>
      <c r="E353">
        <v>4</v>
      </c>
      <c r="F353">
        <v>0</v>
      </c>
      <c r="G353">
        <v>0</v>
      </c>
      <c r="H353" s="1">
        <f t="shared" si="12"/>
        <v>45785</v>
      </c>
      <c r="I353">
        <f t="shared" si="13"/>
        <v>19</v>
      </c>
      <c r="L353" s="8"/>
    </row>
    <row r="354" spans="1:12" x14ac:dyDescent="0.2">
      <c r="A354">
        <v>20250508</v>
      </c>
      <c r="B354" t="s">
        <v>9</v>
      </c>
      <c r="C354" t="s">
        <v>8</v>
      </c>
      <c r="D354">
        <v>1</v>
      </c>
      <c r="E354">
        <v>79</v>
      </c>
      <c r="F354">
        <v>0</v>
      </c>
      <c r="G354">
        <v>0</v>
      </c>
      <c r="H354" s="1">
        <f t="shared" si="12"/>
        <v>45785</v>
      </c>
      <c r="I354">
        <f t="shared" si="13"/>
        <v>19</v>
      </c>
      <c r="L354" s="8"/>
    </row>
    <row r="355" spans="1:12" x14ac:dyDescent="0.2">
      <c r="A355">
        <v>20250508</v>
      </c>
      <c r="B355" t="s">
        <v>10</v>
      </c>
      <c r="C355" t="s">
        <v>8</v>
      </c>
      <c r="D355">
        <v>1</v>
      </c>
      <c r="E355">
        <v>28</v>
      </c>
      <c r="F355">
        <v>0</v>
      </c>
      <c r="G355">
        <v>0</v>
      </c>
      <c r="H355" s="1">
        <f t="shared" si="12"/>
        <v>45785</v>
      </c>
      <c r="I355">
        <f t="shared" si="13"/>
        <v>19</v>
      </c>
      <c r="L355" s="8"/>
    </row>
    <row r="356" spans="1:12" x14ac:dyDescent="0.2">
      <c r="A356">
        <v>20250509</v>
      </c>
      <c r="B356" t="s">
        <v>16</v>
      </c>
      <c r="C356" t="s">
        <v>8</v>
      </c>
      <c r="D356">
        <v>5</v>
      </c>
      <c r="E356">
        <v>13.4</v>
      </c>
      <c r="F356">
        <v>0</v>
      </c>
      <c r="G356">
        <v>0</v>
      </c>
      <c r="H356" s="1">
        <f t="shared" si="12"/>
        <v>45786</v>
      </c>
      <c r="I356">
        <f t="shared" si="13"/>
        <v>19</v>
      </c>
      <c r="L356" s="8"/>
    </row>
    <row r="357" spans="1:12" x14ac:dyDescent="0.2">
      <c r="A357">
        <v>20250509</v>
      </c>
      <c r="B357" t="s">
        <v>10</v>
      </c>
      <c r="C357" t="s">
        <v>8</v>
      </c>
      <c r="D357">
        <v>1</v>
      </c>
      <c r="E357">
        <v>14</v>
      </c>
      <c r="F357">
        <v>0</v>
      </c>
      <c r="G357">
        <v>0</v>
      </c>
      <c r="H357" s="1">
        <f t="shared" si="12"/>
        <v>45786</v>
      </c>
      <c r="I357">
        <f t="shared" si="13"/>
        <v>19</v>
      </c>
      <c r="L357" s="8"/>
    </row>
    <row r="358" spans="1:12" x14ac:dyDescent="0.2">
      <c r="A358">
        <v>20250510</v>
      </c>
      <c r="B358" t="s">
        <v>19</v>
      </c>
      <c r="C358" t="s">
        <v>8</v>
      </c>
      <c r="D358">
        <v>1</v>
      </c>
      <c r="E358">
        <v>38</v>
      </c>
      <c r="F358">
        <v>0</v>
      </c>
      <c r="G358">
        <v>0</v>
      </c>
      <c r="H358" s="1">
        <f t="shared" si="12"/>
        <v>45787</v>
      </c>
      <c r="I358">
        <f t="shared" si="13"/>
        <v>19</v>
      </c>
      <c r="L358" s="8"/>
    </row>
    <row r="359" spans="1:12" x14ac:dyDescent="0.2">
      <c r="A359">
        <v>20250510</v>
      </c>
      <c r="B359" t="s">
        <v>7</v>
      </c>
      <c r="C359" t="s">
        <v>8</v>
      </c>
      <c r="D359">
        <v>9</v>
      </c>
      <c r="E359">
        <v>21</v>
      </c>
      <c r="F359">
        <v>0</v>
      </c>
      <c r="G359">
        <v>0</v>
      </c>
      <c r="H359" s="1">
        <f t="shared" si="12"/>
        <v>45787</v>
      </c>
      <c r="I359">
        <f t="shared" si="13"/>
        <v>19</v>
      </c>
      <c r="L359" s="8"/>
    </row>
    <row r="360" spans="1:12" x14ac:dyDescent="0.2">
      <c r="A360">
        <v>20250510</v>
      </c>
      <c r="B360" t="s">
        <v>9</v>
      </c>
      <c r="C360" t="s">
        <v>8</v>
      </c>
      <c r="D360">
        <v>3</v>
      </c>
      <c r="E360">
        <v>48.6666666666666</v>
      </c>
      <c r="F360">
        <v>0</v>
      </c>
      <c r="G360">
        <v>0</v>
      </c>
      <c r="H360" s="1">
        <f t="shared" si="12"/>
        <v>45787</v>
      </c>
      <c r="I360">
        <f t="shared" si="13"/>
        <v>19</v>
      </c>
      <c r="L360" s="8"/>
    </row>
    <row r="361" spans="1:12" x14ac:dyDescent="0.2">
      <c r="A361">
        <v>20250510</v>
      </c>
      <c r="B361" t="s">
        <v>10</v>
      </c>
      <c r="C361" t="s">
        <v>8</v>
      </c>
      <c r="D361">
        <v>8</v>
      </c>
      <c r="E361">
        <v>31.75</v>
      </c>
      <c r="F361">
        <v>0</v>
      </c>
      <c r="G361">
        <v>0</v>
      </c>
      <c r="H361" s="1">
        <f t="shared" si="12"/>
        <v>45787</v>
      </c>
      <c r="I361">
        <f t="shared" si="13"/>
        <v>19</v>
      </c>
      <c r="L361" s="8"/>
    </row>
    <row r="362" spans="1:12" x14ac:dyDescent="0.2">
      <c r="A362">
        <v>20250511</v>
      </c>
      <c r="B362" t="s">
        <v>7</v>
      </c>
      <c r="C362" t="s">
        <v>8</v>
      </c>
      <c r="D362">
        <v>13</v>
      </c>
      <c r="E362">
        <v>10.769230769230701</v>
      </c>
      <c r="F362">
        <v>1</v>
      </c>
      <c r="G362">
        <v>4</v>
      </c>
      <c r="H362" s="1">
        <f t="shared" si="12"/>
        <v>45788</v>
      </c>
      <c r="I362">
        <f t="shared" si="13"/>
        <v>20</v>
      </c>
      <c r="L362" s="8"/>
    </row>
    <row r="363" spans="1:12" x14ac:dyDescent="0.2">
      <c r="A363">
        <v>20250511</v>
      </c>
      <c r="B363" t="s">
        <v>23</v>
      </c>
      <c r="C363" t="s">
        <v>27</v>
      </c>
      <c r="D363">
        <v>3</v>
      </c>
      <c r="E363">
        <v>36</v>
      </c>
      <c r="F363">
        <v>0</v>
      </c>
      <c r="G363">
        <v>0</v>
      </c>
      <c r="H363" s="1">
        <f t="shared" si="12"/>
        <v>45788</v>
      </c>
      <c r="I363">
        <f t="shared" si="13"/>
        <v>20</v>
      </c>
      <c r="L363" s="8"/>
    </row>
    <row r="364" spans="1:12" x14ac:dyDescent="0.2">
      <c r="A364">
        <v>20250511</v>
      </c>
      <c r="B364" t="s">
        <v>9</v>
      </c>
      <c r="C364" t="s">
        <v>8</v>
      </c>
      <c r="D364">
        <v>2</v>
      </c>
      <c r="E364">
        <v>48</v>
      </c>
      <c r="F364">
        <v>0</v>
      </c>
      <c r="G364">
        <v>0</v>
      </c>
      <c r="H364" s="1">
        <f t="shared" si="12"/>
        <v>45788</v>
      </c>
      <c r="I364">
        <f t="shared" si="13"/>
        <v>20</v>
      </c>
      <c r="L364" s="8"/>
    </row>
    <row r="365" spans="1:12" x14ac:dyDescent="0.2">
      <c r="A365">
        <v>20250511</v>
      </c>
      <c r="B365" t="s">
        <v>10</v>
      </c>
      <c r="C365" t="s">
        <v>8</v>
      </c>
      <c r="D365">
        <v>5</v>
      </c>
      <c r="E365">
        <v>31.6</v>
      </c>
      <c r="F365">
        <v>0</v>
      </c>
      <c r="G365">
        <v>0</v>
      </c>
      <c r="H365" s="1">
        <f t="shared" si="12"/>
        <v>45788</v>
      </c>
      <c r="I365">
        <f t="shared" si="13"/>
        <v>20</v>
      </c>
      <c r="L365" s="8"/>
    </row>
    <row r="366" spans="1:12" x14ac:dyDescent="0.2">
      <c r="A366">
        <v>20250512</v>
      </c>
      <c r="B366" t="s">
        <v>16</v>
      </c>
      <c r="C366" t="s">
        <v>8</v>
      </c>
      <c r="D366">
        <v>1</v>
      </c>
      <c r="E366">
        <v>2</v>
      </c>
      <c r="F366">
        <v>0</v>
      </c>
      <c r="G366">
        <v>0</v>
      </c>
      <c r="H366" s="1">
        <f t="shared" si="12"/>
        <v>45789</v>
      </c>
      <c r="I366">
        <f t="shared" si="13"/>
        <v>20</v>
      </c>
      <c r="L366" s="8"/>
    </row>
    <row r="367" spans="1:12" x14ac:dyDescent="0.2">
      <c r="A367">
        <v>20250512</v>
      </c>
      <c r="B367" t="s">
        <v>7</v>
      </c>
      <c r="C367" t="s">
        <v>8</v>
      </c>
      <c r="D367">
        <v>23</v>
      </c>
      <c r="E367">
        <v>43.652173913043399</v>
      </c>
      <c r="F367">
        <v>0</v>
      </c>
      <c r="G367">
        <v>1</v>
      </c>
      <c r="H367" s="1">
        <f t="shared" si="12"/>
        <v>45789</v>
      </c>
      <c r="I367">
        <f t="shared" si="13"/>
        <v>20</v>
      </c>
      <c r="L367" s="8"/>
    </row>
    <row r="368" spans="1:12" x14ac:dyDescent="0.2">
      <c r="A368">
        <v>20250513</v>
      </c>
      <c r="B368" t="s">
        <v>19</v>
      </c>
      <c r="C368" t="s">
        <v>8</v>
      </c>
      <c r="D368">
        <v>3</v>
      </c>
      <c r="E368">
        <v>22.6666666666666</v>
      </c>
      <c r="F368">
        <v>0</v>
      </c>
      <c r="G368">
        <v>0</v>
      </c>
      <c r="H368" s="1">
        <f t="shared" si="12"/>
        <v>45790</v>
      </c>
      <c r="I368">
        <f t="shared" si="13"/>
        <v>20</v>
      </c>
      <c r="L368" s="8"/>
    </row>
    <row r="369" spans="1:12" x14ac:dyDescent="0.2">
      <c r="A369">
        <v>20250513</v>
      </c>
      <c r="B369" t="s">
        <v>12</v>
      </c>
      <c r="C369" t="s">
        <v>8</v>
      </c>
      <c r="D369">
        <v>2</v>
      </c>
      <c r="E369">
        <v>9.5</v>
      </c>
      <c r="F369">
        <v>0</v>
      </c>
      <c r="G369">
        <v>0</v>
      </c>
      <c r="H369" s="1">
        <f t="shared" si="12"/>
        <v>45790</v>
      </c>
      <c r="I369">
        <f t="shared" si="13"/>
        <v>20</v>
      </c>
      <c r="L369" s="8"/>
    </row>
    <row r="370" spans="1:12" x14ac:dyDescent="0.2">
      <c r="A370">
        <v>20250513</v>
      </c>
      <c r="B370" t="s">
        <v>16</v>
      </c>
      <c r="C370" t="s">
        <v>8</v>
      </c>
      <c r="D370">
        <v>4</v>
      </c>
      <c r="E370">
        <v>32.75</v>
      </c>
      <c r="F370">
        <v>0</v>
      </c>
      <c r="G370">
        <v>0</v>
      </c>
      <c r="H370" s="1">
        <f t="shared" si="12"/>
        <v>45790</v>
      </c>
      <c r="I370">
        <f t="shared" si="13"/>
        <v>20</v>
      </c>
      <c r="L370" s="8"/>
    </row>
    <row r="371" spans="1:12" x14ac:dyDescent="0.2">
      <c r="A371">
        <v>20250513</v>
      </c>
      <c r="B371" t="s">
        <v>7</v>
      </c>
      <c r="C371" t="s">
        <v>8</v>
      </c>
      <c r="D371">
        <v>15</v>
      </c>
      <c r="E371">
        <v>36.4</v>
      </c>
      <c r="F371">
        <v>0</v>
      </c>
      <c r="G371">
        <v>0</v>
      </c>
      <c r="H371" s="1">
        <f t="shared" si="12"/>
        <v>45790</v>
      </c>
      <c r="I371">
        <f t="shared" si="13"/>
        <v>20</v>
      </c>
      <c r="L371" s="8"/>
    </row>
    <row r="372" spans="1:12" x14ac:dyDescent="0.2">
      <c r="A372">
        <v>20250513</v>
      </c>
      <c r="B372" t="s">
        <v>9</v>
      </c>
      <c r="C372" t="s">
        <v>8</v>
      </c>
      <c r="D372">
        <v>1</v>
      </c>
      <c r="E372">
        <v>48</v>
      </c>
      <c r="F372">
        <v>0</v>
      </c>
      <c r="G372">
        <v>0</v>
      </c>
      <c r="H372" s="1">
        <f t="shared" si="12"/>
        <v>45790</v>
      </c>
      <c r="I372">
        <f t="shared" si="13"/>
        <v>20</v>
      </c>
      <c r="L372" s="8"/>
    </row>
    <row r="373" spans="1:12" x14ac:dyDescent="0.2">
      <c r="A373">
        <v>20250513</v>
      </c>
      <c r="B373" t="s">
        <v>10</v>
      </c>
      <c r="C373" t="s">
        <v>8</v>
      </c>
      <c r="D373">
        <v>8</v>
      </c>
      <c r="E373">
        <v>40.625</v>
      </c>
      <c r="F373">
        <v>0</v>
      </c>
      <c r="G373">
        <v>0</v>
      </c>
      <c r="H373" s="1">
        <f t="shared" si="12"/>
        <v>45790</v>
      </c>
      <c r="I373">
        <f t="shared" si="13"/>
        <v>20</v>
      </c>
      <c r="L373" s="8"/>
    </row>
    <row r="374" spans="1:12" x14ac:dyDescent="0.2">
      <c r="A374">
        <v>20250514</v>
      </c>
      <c r="B374" t="s">
        <v>19</v>
      </c>
      <c r="C374" t="s">
        <v>8</v>
      </c>
      <c r="D374">
        <v>1</v>
      </c>
      <c r="E374">
        <v>63</v>
      </c>
      <c r="F374">
        <v>0</v>
      </c>
      <c r="G374">
        <v>0</v>
      </c>
      <c r="H374" s="1">
        <f t="shared" si="12"/>
        <v>45791</v>
      </c>
      <c r="I374">
        <f t="shared" si="13"/>
        <v>20</v>
      </c>
      <c r="L374" s="8"/>
    </row>
    <row r="375" spans="1:12" x14ac:dyDescent="0.2">
      <c r="A375">
        <v>20250514</v>
      </c>
      <c r="B375" t="s">
        <v>16</v>
      </c>
      <c r="C375" t="s">
        <v>8</v>
      </c>
      <c r="D375">
        <v>1</v>
      </c>
      <c r="E375">
        <v>31</v>
      </c>
      <c r="F375">
        <v>0</v>
      </c>
      <c r="G375">
        <v>0</v>
      </c>
      <c r="H375" s="1">
        <f t="shared" si="12"/>
        <v>45791</v>
      </c>
      <c r="I375">
        <f t="shared" si="13"/>
        <v>20</v>
      </c>
      <c r="L375" s="8"/>
    </row>
    <row r="376" spans="1:12" x14ac:dyDescent="0.2">
      <c r="A376">
        <v>20250514</v>
      </c>
      <c r="B376" t="s">
        <v>7</v>
      </c>
      <c r="C376" t="s">
        <v>8</v>
      </c>
      <c r="D376">
        <v>21</v>
      </c>
      <c r="E376">
        <v>65.142857142857096</v>
      </c>
      <c r="F376">
        <v>0</v>
      </c>
      <c r="G376">
        <v>0</v>
      </c>
      <c r="H376" s="1">
        <f t="shared" si="12"/>
        <v>45791</v>
      </c>
      <c r="I376">
        <f t="shared" si="13"/>
        <v>20</v>
      </c>
      <c r="L376" s="8"/>
    </row>
    <row r="377" spans="1:12" x14ac:dyDescent="0.2">
      <c r="A377">
        <v>20250514</v>
      </c>
      <c r="B377" t="s">
        <v>7</v>
      </c>
      <c r="C377" t="s">
        <v>24</v>
      </c>
      <c r="D377">
        <v>1</v>
      </c>
      <c r="E377">
        <v>79</v>
      </c>
      <c r="F377">
        <v>0</v>
      </c>
      <c r="G377">
        <v>0</v>
      </c>
      <c r="H377" s="1">
        <f t="shared" si="12"/>
        <v>45791</v>
      </c>
      <c r="I377">
        <f t="shared" si="13"/>
        <v>20</v>
      </c>
      <c r="L377" s="8"/>
    </row>
    <row r="378" spans="1:12" x14ac:dyDescent="0.2">
      <c r="A378">
        <v>20250514</v>
      </c>
      <c r="B378" t="s">
        <v>7</v>
      </c>
      <c r="C378" t="s">
        <v>27</v>
      </c>
      <c r="D378">
        <v>1</v>
      </c>
      <c r="E378">
        <v>20</v>
      </c>
      <c r="F378">
        <v>0</v>
      </c>
      <c r="G378">
        <v>0</v>
      </c>
      <c r="H378" s="1">
        <f t="shared" si="12"/>
        <v>45791</v>
      </c>
      <c r="I378">
        <f t="shared" si="13"/>
        <v>20</v>
      </c>
      <c r="L378" s="8"/>
    </row>
    <row r="379" spans="1:12" x14ac:dyDescent="0.2">
      <c r="A379">
        <v>20250514</v>
      </c>
      <c r="B379" t="s">
        <v>10</v>
      </c>
      <c r="C379" t="s">
        <v>8</v>
      </c>
      <c r="D379">
        <v>5</v>
      </c>
      <c r="E379">
        <v>21.8</v>
      </c>
      <c r="F379">
        <v>0</v>
      </c>
      <c r="G379">
        <v>0</v>
      </c>
      <c r="H379" s="1">
        <f t="shared" si="12"/>
        <v>45791</v>
      </c>
      <c r="I379">
        <f t="shared" si="13"/>
        <v>20</v>
      </c>
      <c r="L379" s="8"/>
    </row>
    <row r="380" spans="1:12" x14ac:dyDescent="0.2">
      <c r="A380">
        <v>20250515</v>
      </c>
      <c r="B380" t="s">
        <v>19</v>
      </c>
      <c r="C380" t="s">
        <v>8</v>
      </c>
      <c r="D380">
        <v>1</v>
      </c>
      <c r="E380">
        <v>12</v>
      </c>
      <c r="F380">
        <v>0</v>
      </c>
      <c r="G380">
        <v>0</v>
      </c>
      <c r="H380" s="1">
        <f t="shared" si="12"/>
        <v>45792</v>
      </c>
      <c r="I380">
        <f t="shared" si="13"/>
        <v>20</v>
      </c>
      <c r="L380" s="8"/>
    </row>
    <row r="381" spans="1:12" x14ac:dyDescent="0.2">
      <c r="A381">
        <v>20250515</v>
      </c>
      <c r="B381" t="s">
        <v>7</v>
      </c>
      <c r="C381" t="s">
        <v>8</v>
      </c>
      <c r="D381">
        <v>22</v>
      </c>
      <c r="E381">
        <v>56.909090909090899</v>
      </c>
      <c r="F381">
        <v>0</v>
      </c>
      <c r="G381">
        <v>0</v>
      </c>
      <c r="H381" s="1">
        <f t="shared" si="12"/>
        <v>45792</v>
      </c>
      <c r="I381">
        <f t="shared" si="13"/>
        <v>20</v>
      </c>
      <c r="L381" s="8"/>
    </row>
    <row r="382" spans="1:12" x14ac:dyDescent="0.2">
      <c r="A382">
        <v>20250515</v>
      </c>
      <c r="B382" t="s">
        <v>10</v>
      </c>
      <c r="C382" t="s">
        <v>8</v>
      </c>
      <c r="D382">
        <v>5</v>
      </c>
      <c r="E382">
        <v>23</v>
      </c>
      <c r="F382">
        <v>0</v>
      </c>
      <c r="G382">
        <v>0</v>
      </c>
      <c r="H382" s="1">
        <f t="shared" si="12"/>
        <v>45792</v>
      </c>
      <c r="I382">
        <f t="shared" si="13"/>
        <v>20</v>
      </c>
      <c r="L382" s="8"/>
    </row>
    <row r="383" spans="1:12" x14ac:dyDescent="0.2">
      <c r="A383">
        <v>20250516</v>
      </c>
      <c r="B383" t="s">
        <v>7</v>
      </c>
      <c r="C383" t="s">
        <v>8</v>
      </c>
      <c r="D383">
        <v>42</v>
      </c>
      <c r="E383">
        <v>74.428571428571402</v>
      </c>
      <c r="F383">
        <v>1</v>
      </c>
      <c r="G383">
        <v>2</v>
      </c>
      <c r="H383" s="1">
        <f t="shared" si="12"/>
        <v>45793</v>
      </c>
      <c r="I383">
        <f t="shared" si="13"/>
        <v>20</v>
      </c>
      <c r="L383" s="8"/>
    </row>
    <row r="384" spans="1:12" x14ac:dyDescent="0.2">
      <c r="A384">
        <v>20250516</v>
      </c>
      <c r="B384" t="s">
        <v>9</v>
      </c>
      <c r="C384" t="s">
        <v>13</v>
      </c>
      <c r="D384">
        <v>5</v>
      </c>
      <c r="E384">
        <v>1</v>
      </c>
      <c r="F384">
        <v>0</v>
      </c>
      <c r="G384">
        <v>1</v>
      </c>
      <c r="H384" s="1">
        <f t="shared" si="12"/>
        <v>45793</v>
      </c>
      <c r="I384">
        <f t="shared" si="13"/>
        <v>20</v>
      </c>
      <c r="L384" s="8"/>
    </row>
    <row r="385" spans="1:12" x14ac:dyDescent="0.2">
      <c r="A385">
        <v>20250516</v>
      </c>
      <c r="B385" t="s">
        <v>9</v>
      </c>
      <c r="C385" t="s">
        <v>8</v>
      </c>
      <c r="D385">
        <v>4</v>
      </c>
      <c r="E385">
        <v>42</v>
      </c>
      <c r="F385">
        <v>0</v>
      </c>
      <c r="G385">
        <v>0</v>
      </c>
      <c r="H385" s="1">
        <f t="shared" si="12"/>
        <v>45793</v>
      </c>
      <c r="I385">
        <f t="shared" si="13"/>
        <v>20</v>
      </c>
      <c r="L385" s="8"/>
    </row>
    <row r="386" spans="1:12" x14ac:dyDescent="0.2">
      <c r="A386">
        <v>20250516</v>
      </c>
      <c r="B386" t="s">
        <v>10</v>
      </c>
      <c r="C386" t="s">
        <v>8</v>
      </c>
      <c r="D386">
        <v>3</v>
      </c>
      <c r="E386">
        <v>27.6666666666666</v>
      </c>
      <c r="F386">
        <v>0</v>
      </c>
      <c r="G386">
        <v>0</v>
      </c>
      <c r="H386" s="1">
        <f t="shared" ref="H386:H449" si="14">DATE(LEFT(A386,4),MID(A386,5,2),RIGHT(A386,2))</f>
        <v>45793</v>
      </c>
      <c r="I386">
        <f t="shared" ref="I386:I449" si="15">WEEKNUM(H386)</f>
        <v>20</v>
      </c>
      <c r="L386" s="8"/>
    </row>
    <row r="387" spans="1:12" x14ac:dyDescent="0.2">
      <c r="A387">
        <v>20250516</v>
      </c>
      <c r="B387" t="s">
        <v>10</v>
      </c>
      <c r="C387" t="s">
        <v>13</v>
      </c>
      <c r="D387">
        <v>1</v>
      </c>
      <c r="E387">
        <v>1</v>
      </c>
      <c r="F387">
        <v>0</v>
      </c>
      <c r="G387">
        <v>0</v>
      </c>
      <c r="H387" s="1">
        <f t="shared" si="14"/>
        <v>45793</v>
      </c>
      <c r="I387">
        <f t="shared" si="15"/>
        <v>20</v>
      </c>
      <c r="L387" s="8"/>
    </row>
    <row r="388" spans="1:12" x14ac:dyDescent="0.2">
      <c r="A388">
        <v>20250516</v>
      </c>
      <c r="B388" t="s">
        <v>10</v>
      </c>
      <c r="C388" t="s">
        <v>31</v>
      </c>
      <c r="D388">
        <v>1</v>
      </c>
      <c r="E388">
        <v>72</v>
      </c>
      <c r="F388">
        <v>0</v>
      </c>
      <c r="G388">
        <v>0</v>
      </c>
      <c r="H388" s="1">
        <f t="shared" si="14"/>
        <v>45793</v>
      </c>
      <c r="I388">
        <f t="shared" si="15"/>
        <v>20</v>
      </c>
      <c r="L388" s="8"/>
    </row>
    <row r="389" spans="1:12" x14ac:dyDescent="0.2">
      <c r="A389">
        <v>20250517</v>
      </c>
      <c r="B389" t="s">
        <v>19</v>
      </c>
      <c r="C389" t="s">
        <v>8</v>
      </c>
      <c r="D389">
        <v>1</v>
      </c>
      <c r="E389">
        <v>87</v>
      </c>
      <c r="F389">
        <v>0</v>
      </c>
      <c r="G389">
        <v>0</v>
      </c>
      <c r="H389" s="1">
        <f t="shared" si="14"/>
        <v>45794</v>
      </c>
      <c r="I389">
        <f t="shared" si="15"/>
        <v>20</v>
      </c>
      <c r="L389" s="8"/>
    </row>
    <row r="390" spans="1:12" x14ac:dyDescent="0.2">
      <c r="A390">
        <v>20250517</v>
      </c>
      <c r="B390" t="s">
        <v>16</v>
      </c>
      <c r="C390" t="s">
        <v>8</v>
      </c>
      <c r="D390">
        <v>1</v>
      </c>
      <c r="E390">
        <v>30</v>
      </c>
      <c r="F390">
        <v>0</v>
      </c>
      <c r="G390">
        <v>0</v>
      </c>
      <c r="H390" s="1">
        <f t="shared" si="14"/>
        <v>45794</v>
      </c>
      <c r="I390">
        <f t="shared" si="15"/>
        <v>20</v>
      </c>
      <c r="L390" s="8"/>
    </row>
    <row r="391" spans="1:12" x14ac:dyDescent="0.2">
      <c r="A391">
        <v>20250517</v>
      </c>
      <c r="B391" t="s">
        <v>7</v>
      </c>
      <c r="C391" t="s">
        <v>8</v>
      </c>
      <c r="D391">
        <v>47</v>
      </c>
      <c r="E391">
        <v>55.170212765957402</v>
      </c>
      <c r="F391">
        <v>0</v>
      </c>
      <c r="G391">
        <v>0</v>
      </c>
      <c r="H391" s="1">
        <f t="shared" si="14"/>
        <v>45794</v>
      </c>
      <c r="I391">
        <f t="shared" si="15"/>
        <v>20</v>
      </c>
      <c r="L391" s="8"/>
    </row>
    <row r="392" spans="1:12" x14ac:dyDescent="0.2">
      <c r="A392">
        <v>20250517</v>
      </c>
      <c r="B392" t="s">
        <v>9</v>
      </c>
      <c r="C392" t="s">
        <v>8</v>
      </c>
      <c r="D392">
        <v>9</v>
      </c>
      <c r="E392">
        <v>42.5555555555555</v>
      </c>
      <c r="F392">
        <v>0</v>
      </c>
      <c r="G392">
        <v>0</v>
      </c>
      <c r="H392" s="1">
        <f t="shared" si="14"/>
        <v>45794</v>
      </c>
      <c r="I392">
        <f t="shared" si="15"/>
        <v>20</v>
      </c>
      <c r="L392" s="8"/>
    </row>
    <row r="393" spans="1:12" x14ac:dyDescent="0.2">
      <c r="A393">
        <v>20250517</v>
      </c>
      <c r="B393" t="s">
        <v>9</v>
      </c>
      <c r="C393" t="s">
        <v>13</v>
      </c>
      <c r="D393">
        <v>1</v>
      </c>
      <c r="E393">
        <v>84</v>
      </c>
      <c r="F393">
        <v>0</v>
      </c>
      <c r="G393">
        <v>0</v>
      </c>
      <c r="H393" s="1">
        <f t="shared" si="14"/>
        <v>45794</v>
      </c>
      <c r="I393">
        <f t="shared" si="15"/>
        <v>20</v>
      </c>
      <c r="L393" s="8"/>
    </row>
    <row r="394" spans="1:12" x14ac:dyDescent="0.2">
      <c r="A394">
        <v>20250517</v>
      </c>
      <c r="B394" t="s">
        <v>10</v>
      </c>
      <c r="C394" t="s">
        <v>8</v>
      </c>
      <c r="D394">
        <v>11</v>
      </c>
      <c r="E394">
        <v>29.272727272727199</v>
      </c>
      <c r="F394">
        <v>0</v>
      </c>
      <c r="G394">
        <v>0</v>
      </c>
      <c r="H394" s="1">
        <f t="shared" si="14"/>
        <v>45794</v>
      </c>
      <c r="I394">
        <f t="shared" si="15"/>
        <v>20</v>
      </c>
      <c r="L394" s="8"/>
    </row>
    <row r="395" spans="1:12" x14ac:dyDescent="0.2">
      <c r="A395">
        <v>20250518</v>
      </c>
      <c r="B395" t="s">
        <v>16</v>
      </c>
      <c r="C395" t="s">
        <v>8</v>
      </c>
      <c r="D395">
        <v>1</v>
      </c>
      <c r="E395">
        <v>29</v>
      </c>
      <c r="F395">
        <v>0</v>
      </c>
      <c r="G395">
        <v>0</v>
      </c>
      <c r="H395" s="1">
        <f t="shared" si="14"/>
        <v>45795</v>
      </c>
      <c r="I395">
        <f t="shared" si="15"/>
        <v>21</v>
      </c>
      <c r="L395" s="8"/>
    </row>
    <row r="396" spans="1:12" x14ac:dyDescent="0.2">
      <c r="A396">
        <v>20250518</v>
      </c>
      <c r="B396" t="s">
        <v>7</v>
      </c>
      <c r="C396" t="s">
        <v>8</v>
      </c>
      <c r="D396">
        <v>162</v>
      </c>
      <c r="E396">
        <v>47.0061728395061</v>
      </c>
      <c r="F396">
        <v>0</v>
      </c>
      <c r="G396">
        <v>4</v>
      </c>
      <c r="H396" s="1">
        <f t="shared" si="14"/>
        <v>45795</v>
      </c>
      <c r="I396">
        <f t="shared" si="15"/>
        <v>21</v>
      </c>
      <c r="L396" s="8"/>
    </row>
    <row r="397" spans="1:12" x14ac:dyDescent="0.2">
      <c r="A397">
        <v>20250518</v>
      </c>
      <c r="B397" t="s">
        <v>9</v>
      </c>
      <c r="C397" t="s">
        <v>8</v>
      </c>
      <c r="D397">
        <v>6</v>
      </c>
      <c r="E397">
        <v>39.5</v>
      </c>
      <c r="F397">
        <v>0</v>
      </c>
      <c r="G397">
        <v>0</v>
      </c>
      <c r="H397" s="1">
        <f t="shared" si="14"/>
        <v>45795</v>
      </c>
      <c r="I397">
        <f t="shared" si="15"/>
        <v>21</v>
      </c>
      <c r="L397" s="8"/>
    </row>
    <row r="398" spans="1:12" x14ac:dyDescent="0.2">
      <c r="A398">
        <v>20250518</v>
      </c>
      <c r="B398" t="s">
        <v>10</v>
      </c>
      <c r="C398" t="s">
        <v>8</v>
      </c>
      <c r="D398">
        <v>9</v>
      </c>
      <c r="E398">
        <v>33.7777777777777</v>
      </c>
      <c r="F398">
        <v>0</v>
      </c>
      <c r="G398">
        <v>0</v>
      </c>
      <c r="H398" s="1">
        <f t="shared" si="14"/>
        <v>45795</v>
      </c>
      <c r="I398">
        <f t="shared" si="15"/>
        <v>21</v>
      </c>
      <c r="L398" s="8"/>
    </row>
    <row r="399" spans="1:12" x14ac:dyDescent="0.2">
      <c r="A399">
        <v>20250519</v>
      </c>
      <c r="B399" t="s">
        <v>7</v>
      </c>
      <c r="C399" t="s">
        <v>8</v>
      </c>
      <c r="D399">
        <v>147</v>
      </c>
      <c r="E399">
        <v>48.408163265306101</v>
      </c>
      <c r="F399">
        <v>0</v>
      </c>
      <c r="G399">
        <v>1</v>
      </c>
      <c r="H399" s="1">
        <f t="shared" si="14"/>
        <v>45796</v>
      </c>
      <c r="I399">
        <f t="shared" si="15"/>
        <v>21</v>
      </c>
      <c r="L399" s="8"/>
    </row>
    <row r="400" spans="1:12" x14ac:dyDescent="0.2">
      <c r="A400">
        <v>20250519</v>
      </c>
      <c r="B400" t="s">
        <v>14</v>
      </c>
      <c r="C400" t="s">
        <v>8</v>
      </c>
      <c r="D400">
        <v>1</v>
      </c>
      <c r="E400">
        <v>24</v>
      </c>
      <c r="F400">
        <v>0</v>
      </c>
      <c r="G400">
        <v>0</v>
      </c>
      <c r="H400" s="1">
        <f t="shared" si="14"/>
        <v>45796</v>
      </c>
      <c r="I400">
        <f t="shared" si="15"/>
        <v>21</v>
      </c>
      <c r="L400" s="8"/>
    </row>
    <row r="401" spans="1:12" x14ac:dyDescent="0.2">
      <c r="A401">
        <v>20250519</v>
      </c>
      <c r="B401" t="s">
        <v>9</v>
      </c>
      <c r="C401" t="s">
        <v>8</v>
      </c>
      <c r="D401">
        <v>2</v>
      </c>
      <c r="E401">
        <v>44</v>
      </c>
      <c r="F401">
        <v>0</v>
      </c>
      <c r="G401">
        <v>0</v>
      </c>
      <c r="H401" s="1">
        <f t="shared" si="14"/>
        <v>45796</v>
      </c>
      <c r="I401">
        <f t="shared" si="15"/>
        <v>21</v>
      </c>
      <c r="L401" s="8"/>
    </row>
    <row r="402" spans="1:12" x14ac:dyDescent="0.2">
      <c r="A402">
        <v>20250519</v>
      </c>
      <c r="B402" t="s">
        <v>10</v>
      </c>
      <c r="C402" t="s">
        <v>8</v>
      </c>
      <c r="D402">
        <v>1</v>
      </c>
      <c r="E402">
        <v>96</v>
      </c>
      <c r="F402">
        <v>0</v>
      </c>
      <c r="G402">
        <v>0</v>
      </c>
      <c r="H402" s="1">
        <f t="shared" si="14"/>
        <v>45796</v>
      </c>
      <c r="I402">
        <f t="shared" si="15"/>
        <v>21</v>
      </c>
      <c r="L402" s="8"/>
    </row>
    <row r="403" spans="1:12" x14ac:dyDescent="0.2">
      <c r="A403">
        <v>20250519</v>
      </c>
      <c r="B403" t="s">
        <v>10</v>
      </c>
      <c r="C403" t="s">
        <v>26</v>
      </c>
      <c r="D403">
        <v>1</v>
      </c>
      <c r="E403">
        <v>93</v>
      </c>
      <c r="F403">
        <v>0</v>
      </c>
      <c r="G403">
        <v>0</v>
      </c>
      <c r="H403" s="1">
        <f t="shared" si="14"/>
        <v>45796</v>
      </c>
      <c r="I403">
        <f t="shared" si="15"/>
        <v>21</v>
      </c>
      <c r="L403" s="8"/>
    </row>
    <row r="404" spans="1:12" x14ac:dyDescent="0.2">
      <c r="A404">
        <v>20250520</v>
      </c>
      <c r="B404" t="s">
        <v>12</v>
      </c>
      <c r="C404" t="s">
        <v>8</v>
      </c>
      <c r="D404">
        <v>2</v>
      </c>
      <c r="E404">
        <v>23.5</v>
      </c>
      <c r="F404">
        <v>0</v>
      </c>
      <c r="G404">
        <v>0</v>
      </c>
      <c r="H404" s="1">
        <f t="shared" si="14"/>
        <v>45797</v>
      </c>
      <c r="I404">
        <f t="shared" si="15"/>
        <v>21</v>
      </c>
      <c r="L404" s="8"/>
    </row>
    <row r="405" spans="1:12" x14ac:dyDescent="0.2">
      <c r="A405">
        <v>20250520</v>
      </c>
      <c r="B405" t="s">
        <v>7</v>
      </c>
      <c r="C405" t="s">
        <v>8</v>
      </c>
      <c r="D405">
        <v>89</v>
      </c>
      <c r="E405">
        <v>57.213483146067396</v>
      </c>
      <c r="F405">
        <v>0</v>
      </c>
      <c r="G405">
        <v>0</v>
      </c>
      <c r="H405" s="1">
        <f t="shared" si="14"/>
        <v>45797</v>
      </c>
      <c r="I405">
        <f t="shared" si="15"/>
        <v>21</v>
      </c>
      <c r="L405" s="8"/>
    </row>
    <row r="406" spans="1:12" x14ac:dyDescent="0.2">
      <c r="A406">
        <v>20250520</v>
      </c>
      <c r="B406" t="s">
        <v>9</v>
      </c>
      <c r="C406" t="s">
        <v>8</v>
      </c>
      <c r="D406">
        <v>2</v>
      </c>
      <c r="E406">
        <v>48</v>
      </c>
      <c r="F406">
        <v>0</v>
      </c>
      <c r="G406">
        <v>0</v>
      </c>
      <c r="H406" s="1">
        <f t="shared" si="14"/>
        <v>45797</v>
      </c>
      <c r="I406">
        <f t="shared" si="15"/>
        <v>21</v>
      </c>
      <c r="L406" s="8"/>
    </row>
    <row r="407" spans="1:12" x14ac:dyDescent="0.2">
      <c r="A407">
        <v>20250520</v>
      </c>
      <c r="B407" t="s">
        <v>10</v>
      </c>
      <c r="C407" t="s">
        <v>8</v>
      </c>
      <c r="D407">
        <v>3</v>
      </c>
      <c r="E407">
        <v>27.6666666666666</v>
      </c>
      <c r="F407">
        <v>0</v>
      </c>
      <c r="G407">
        <v>0</v>
      </c>
      <c r="H407" s="1">
        <f t="shared" si="14"/>
        <v>45797</v>
      </c>
      <c r="I407">
        <f t="shared" si="15"/>
        <v>21</v>
      </c>
      <c r="L407" s="8"/>
    </row>
    <row r="408" spans="1:12" x14ac:dyDescent="0.2">
      <c r="A408">
        <v>20250521</v>
      </c>
      <c r="B408" t="s">
        <v>7</v>
      </c>
      <c r="C408" t="s">
        <v>8</v>
      </c>
      <c r="D408">
        <v>57</v>
      </c>
      <c r="E408">
        <v>49.684210526315702</v>
      </c>
      <c r="F408">
        <v>0</v>
      </c>
      <c r="G408">
        <v>0</v>
      </c>
      <c r="H408" s="1">
        <f t="shared" si="14"/>
        <v>45798</v>
      </c>
      <c r="I408">
        <f t="shared" si="15"/>
        <v>21</v>
      </c>
      <c r="L408" s="8"/>
    </row>
    <row r="409" spans="1:12" x14ac:dyDescent="0.2">
      <c r="A409">
        <v>20250521</v>
      </c>
      <c r="B409" t="s">
        <v>9</v>
      </c>
      <c r="C409" t="s">
        <v>8</v>
      </c>
      <c r="D409">
        <v>7</v>
      </c>
      <c r="E409">
        <v>23.714285714285701</v>
      </c>
      <c r="F409">
        <v>0</v>
      </c>
      <c r="G409">
        <v>0</v>
      </c>
      <c r="H409" s="1">
        <f t="shared" si="14"/>
        <v>45798</v>
      </c>
      <c r="I409">
        <f t="shared" si="15"/>
        <v>21</v>
      </c>
      <c r="L409" s="8"/>
    </row>
    <row r="410" spans="1:12" x14ac:dyDescent="0.2">
      <c r="A410">
        <v>20250521</v>
      </c>
      <c r="B410" t="s">
        <v>9</v>
      </c>
      <c r="C410" t="s">
        <v>13</v>
      </c>
      <c r="D410">
        <v>2</v>
      </c>
      <c r="E410">
        <v>1</v>
      </c>
      <c r="F410">
        <v>0</v>
      </c>
      <c r="G410">
        <v>0</v>
      </c>
      <c r="H410" s="1">
        <f t="shared" si="14"/>
        <v>45798</v>
      </c>
      <c r="I410">
        <f t="shared" si="15"/>
        <v>21</v>
      </c>
      <c r="L410" s="8"/>
    </row>
    <row r="411" spans="1:12" x14ac:dyDescent="0.2">
      <c r="A411">
        <v>20250522</v>
      </c>
      <c r="B411" t="s">
        <v>12</v>
      </c>
      <c r="C411" t="s">
        <v>17</v>
      </c>
      <c r="D411">
        <v>1</v>
      </c>
      <c r="E411">
        <v>25</v>
      </c>
      <c r="F411">
        <v>0</v>
      </c>
      <c r="G411">
        <v>0</v>
      </c>
      <c r="H411" s="1">
        <f t="shared" si="14"/>
        <v>45799</v>
      </c>
      <c r="I411">
        <f t="shared" si="15"/>
        <v>21</v>
      </c>
      <c r="L411" s="8"/>
    </row>
    <row r="412" spans="1:12" x14ac:dyDescent="0.2">
      <c r="A412">
        <v>20250522</v>
      </c>
      <c r="B412" t="s">
        <v>29</v>
      </c>
      <c r="C412" t="s">
        <v>8</v>
      </c>
      <c r="D412">
        <v>1</v>
      </c>
      <c r="E412">
        <v>36</v>
      </c>
      <c r="F412">
        <v>0</v>
      </c>
      <c r="G412">
        <v>0</v>
      </c>
      <c r="H412" s="1">
        <f t="shared" si="14"/>
        <v>45799</v>
      </c>
      <c r="I412">
        <f t="shared" si="15"/>
        <v>21</v>
      </c>
      <c r="L412" s="8"/>
    </row>
    <row r="413" spans="1:12" x14ac:dyDescent="0.2">
      <c r="A413">
        <v>20250522</v>
      </c>
      <c r="B413" t="s">
        <v>7</v>
      </c>
      <c r="C413" t="s">
        <v>8</v>
      </c>
      <c r="D413">
        <v>3</v>
      </c>
      <c r="E413">
        <v>32.6666666666666</v>
      </c>
      <c r="F413">
        <v>0</v>
      </c>
      <c r="G413">
        <v>0</v>
      </c>
      <c r="H413" s="1">
        <f t="shared" si="14"/>
        <v>45799</v>
      </c>
      <c r="I413">
        <f t="shared" si="15"/>
        <v>21</v>
      </c>
      <c r="L413" s="8"/>
    </row>
    <row r="414" spans="1:12" x14ac:dyDescent="0.2">
      <c r="A414">
        <v>20250522</v>
      </c>
      <c r="B414" t="s">
        <v>7</v>
      </c>
      <c r="C414" t="s">
        <v>17</v>
      </c>
      <c r="D414">
        <v>1</v>
      </c>
      <c r="E414">
        <v>1</v>
      </c>
      <c r="F414">
        <v>0</v>
      </c>
      <c r="G414">
        <v>0</v>
      </c>
      <c r="H414" s="1">
        <f t="shared" si="14"/>
        <v>45799</v>
      </c>
      <c r="I414">
        <f t="shared" si="15"/>
        <v>21</v>
      </c>
      <c r="L414" s="8"/>
    </row>
    <row r="415" spans="1:12" x14ac:dyDescent="0.2">
      <c r="A415">
        <v>20250522</v>
      </c>
      <c r="B415" t="s">
        <v>10</v>
      </c>
      <c r="C415" t="s">
        <v>8</v>
      </c>
      <c r="D415">
        <v>4</v>
      </c>
      <c r="E415">
        <v>22</v>
      </c>
      <c r="F415">
        <v>0</v>
      </c>
      <c r="G415">
        <v>0</v>
      </c>
      <c r="H415" s="1">
        <f t="shared" si="14"/>
        <v>45799</v>
      </c>
      <c r="I415">
        <f t="shared" si="15"/>
        <v>21</v>
      </c>
      <c r="L415" s="8"/>
    </row>
    <row r="416" spans="1:12" x14ac:dyDescent="0.2">
      <c r="A416">
        <v>20250523</v>
      </c>
      <c r="B416" t="s">
        <v>16</v>
      </c>
      <c r="C416" t="s">
        <v>8</v>
      </c>
      <c r="D416">
        <v>1</v>
      </c>
      <c r="E416">
        <v>9</v>
      </c>
      <c r="F416">
        <v>0</v>
      </c>
      <c r="G416">
        <v>0</v>
      </c>
      <c r="H416" s="1">
        <f t="shared" si="14"/>
        <v>45800</v>
      </c>
      <c r="I416">
        <f t="shared" si="15"/>
        <v>21</v>
      </c>
      <c r="L416" s="8"/>
    </row>
    <row r="417" spans="1:12" x14ac:dyDescent="0.2">
      <c r="A417">
        <v>20250523</v>
      </c>
      <c r="B417" t="s">
        <v>16</v>
      </c>
      <c r="C417" t="s">
        <v>28</v>
      </c>
      <c r="D417">
        <v>1</v>
      </c>
      <c r="E417">
        <v>34</v>
      </c>
      <c r="F417">
        <v>0</v>
      </c>
      <c r="G417">
        <v>0</v>
      </c>
      <c r="H417" s="1">
        <f t="shared" si="14"/>
        <v>45800</v>
      </c>
      <c r="I417">
        <f t="shared" si="15"/>
        <v>21</v>
      </c>
      <c r="L417" s="8"/>
    </row>
    <row r="418" spans="1:12" x14ac:dyDescent="0.2">
      <c r="A418">
        <v>20250523</v>
      </c>
      <c r="B418" t="s">
        <v>7</v>
      </c>
      <c r="C418" t="s">
        <v>8</v>
      </c>
      <c r="D418">
        <v>8</v>
      </c>
      <c r="E418">
        <v>10.375</v>
      </c>
      <c r="F418">
        <v>0</v>
      </c>
      <c r="G418">
        <v>2</v>
      </c>
      <c r="H418" s="1">
        <f t="shared" si="14"/>
        <v>45800</v>
      </c>
      <c r="I418">
        <f t="shared" si="15"/>
        <v>21</v>
      </c>
      <c r="L418" s="8"/>
    </row>
    <row r="419" spans="1:12" x14ac:dyDescent="0.2">
      <c r="A419">
        <v>20250523</v>
      </c>
      <c r="B419" t="s">
        <v>14</v>
      </c>
      <c r="C419" t="s">
        <v>8</v>
      </c>
      <c r="D419">
        <v>1</v>
      </c>
      <c r="E419">
        <v>22</v>
      </c>
      <c r="F419">
        <v>0</v>
      </c>
      <c r="G419">
        <v>0</v>
      </c>
      <c r="H419" s="1">
        <f t="shared" si="14"/>
        <v>45800</v>
      </c>
      <c r="I419">
        <f t="shared" si="15"/>
        <v>21</v>
      </c>
      <c r="L419" s="8"/>
    </row>
    <row r="420" spans="1:12" x14ac:dyDescent="0.2">
      <c r="A420">
        <v>20250523</v>
      </c>
      <c r="B420" t="s">
        <v>9</v>
      </c>
      <c r="C420" t="s">
        <v>15</v>
      </c>
      <c r="D420">
        <v>1</v>
      </c>
      <c r="E420">
        <v>1</v>
      </c>
      <c r="F420">
        <v>0</v>
      </c>
      <c r="G420">
        <v>0</v>
      </c>
      <c r="H420" s="1">
        <f t="shared" si="14"/>
        <v>45800</v>
      </c>
      <c r="I420">
        <f t="shared" si="15"/>
        <v>21</v>
      </c>
      <c r="L420" s="8"/>
    </row>
    <row r="421" spans="1:12" x14ac:dyDescent="0.2">
      <c r="A421">
        <v>20250523</v>
      </c>
      <c r="B421" t="s">
        <v>9</v>
      </c>
      <c r="C421" t="s">
        <v>8</v>
      </c>
      <c r="D421">
        <v>1</v>
      </c>
      <c r="E421">
        <v>40</v>
      </c>
      <c r="F421">
        <v>0</v>
      </c>
      <c r="G421">
        <v>0</v>
      </c>
      <c r="H421" s="1">
        <f t="shared" si="14"/>
        <v>45800</v>
      </c>
      <c r="I421">
        <f t="shared" si="15"/>
        <v>21</v>
      </c>
      <c r="L421" s="8"/>
    </row>
    <row r="422" spans="1:12" x14ac:dyDescent="0.2">
      <c r="A422">
        <v>20250523</v>
      </c>
      <c r="B422" t="s">
        <v>10</v>
      </c>
      <c r="C422" t="s">
        <v>8</v>
      </c>
      <c r="D422">
        <v>3</v>
      </c>
      <c r="E422">
        <v>32.3333333333333</v>
      </c>
      <c r="F422">
        <v>0</v>
      </c>
      <c r="G422">
        <v>0</v>
      </c>
      <c r="H422" s="1">
        <f t="shared" si="14"/>
        <v>45800</v>
      </c>
      <c r="I422">
        <f t="shared" si="15"/>
        <v>21</v>
      </c>
      <c r="L422" s="8"/>
    </row>
    <row r="423" spans="1:12" x14ac:dyDescent="0.2">
      <c r="A423">
        <v>20250524</v>
      </c>
      <c r="B423" t="s">
        <v>29</v>
      </c>
      <c r="C423" t="s">
        <v>8</v>
      </c>
      <c r="D423">
        <v>1</v>
      </c>
      <c r="E423">
        <v>36</v>
      </c>
      <c r="F423">
        <v>0</v>
      </c>
      <c r="G423">
        <v>0</v>
      </c>
      <c r="H423" s="1">
        <f t="shared" si="14"/>
        <v>45801</v>
      </c>
      <c r="I423">
        <f t="shared" si="15"/>
        <v>21</v>
      </c>
      <c r="L423" s="8"/>
    </row>
    <row r="424" spans="1:12" x14ac:dyDescent="0.2">
      <c r="A424">
        <v>20250524</v>
      </c>
      <c r="B424" t="s">
        <v>7</v>
      </c>
      <c r="C424" t="s">
        <v>8</v>
      </c>
      <c r="D424">
        <v>16</v>
      </c>
      <c r="E424">
        <v>11.9375</v>
      </c>
      <c r="F424">
        <v>0</v>
      </c>
      <c r="G424">
        <v>0</v>
      </c>
      <c r="H424" s="1">
        <f t="shared" si="14"/>
        <v>45801</v>
      </c>
      <c r="I424">
        <f t="shared" si="15"/>
        <v>21</v>
      </c>
      <c r="L424" s="8"/>
    </row>
    <row r="425" spans="1:12" x14ac:dyDescent="0.2">
      <c r="A425">
        <v>20250524</v>
      </c>
      <c r="B425" t="s">
        <v>9</v>
      </c>
      <c r="C425" t="s">
        <v>15</v>
      </c>
      <c r="D425">
        <v>6</v>
      </c>
      <c r="E425">
        <v>1</v>
      </c>
      <c r="F425">
        <v>0</v>
      </c>
      <c r="G425">
        <v>0</v>
      </c>
      <c r="H425" s="1">
        <f t="shared" si="14"/>
        <v>45801</v>
      </c>
      <c r="I425">
        <f t="shared" si="15"/>
        <v>21</v>
      </c>
      <c r="L425" s="8"/>
    </row>
    <row r="426" spans="1:12" x14ac:dyDescent="0.2">
      <c r="A426">
        <v>20250524</v>
      </c>
      <c r="B426" t="s">
        <v>9</v>
      </c>
      <c r="C426" t="s">
        <v>8</v>
      </c>
      <c r="D426">
        <v>1</v>
      </c>
      <c r="E426">
        <v>27</v>
      </c>
      <c r="F426">
        <v>0</v>
      </c>
      <c r="G426">
        <v>0</v>
      </c>
      <c r="H426" s="1">
        <f t="shared" si="14"/>
        <v>45801</v>
      </c>
      <c r="I426">
        <f t="shared" si="15"/>
        <v>21</v>
      </c>
      <c r="L426" s="8"/>
    </row>
    <row r="427" spans="1:12" x14ac:dyDescent="0.2">
      <c r="A427">
        <v>20250524</v>
      </c>
      <c r="B427" t="s">
        <v>10</v>
      </c>
      <c r="C427" t="s">
        <v>8</v>
      </c>
      <c r="D427">
        <v>3</v>
      </c>
      <c r="E427">
        <v>32.6666666666666</v>
      </c>
      <c r="F427">
        <v>0</v>
      </c>
      <c r="G427">
        <v>0</v>
      </c>
      <c r="H427" s="1">
        <f t="shared" si="14"/>
        <v>45801</v>
      </c>
      <c r="I427">
        <f t="shared" si="15"/>
        <v>21</v>
      </c>
      <c r="L427" s="8"/>
    </row>
    <row r="428" spans="1:12" x14ac:dyDescent="0.2">
      <c r="A428">
        <v>20250525</v>
      </c>
      <c r="B428" t="s">
        <v>12</v>
      </c>
      <c r="C428" t="s">
        <v>8</v>
      </c>
      <c r="D428">
        <v>1</v>
      </c>
      <c r="E428">
        <v>1</v>
      </c>
      <c r="F428">
        <v>1</v>
      </c>
      <c r="G428">
        <v>1</v>
      </c>
      <c r="H428" s="1">
        <f t="shared" si="14"/>
        <v>45802</v>
      </c>
      <c r="I428">
        <f t="shared" si="15"/>
        <v>22</v>
      </c>
      <c r="L428" s="8"/>
    </row>
    <row r="429" spans="1:12" x14ac:dyDescent="0.2">
      <c r="A429">
        <v>20250525</v>
      </c>
      <c r="B429" t="s">
        <v>7</v>
      </c>
      <c r="C429" t="s">
        <v>8</v>
      </c>
      <c r="D429">
        <v>9</v>
      </c>
      <c r="E429">
        <v>8.8888888888888893</v>
      </c>
      <c r="F429">
        <v>0</v>
      </c>
      <c r="G429">
        <v>0</v>
      </c>
      <c r="H429" s="1">
        <f t="shared" si="14"/>
        <v>45802</v>
      </c>
      <c r="I429">
        <f t="shared" si="15"/>
        <v>22</v>
      </c>
      <c r="L429" s="8"/>
    </row>
    <row r="430" spans="1:12" x14ac:dyDescent="0.2">
      <c r="A430">
        <v>20250525</v>
      </c>
      <c r="B430" t="s">
        <v>9</v>
      </c>
      <c r="C430" t="s">
        <v>13</v>
      </c>
      <c r="D430">
        <v>7</v>
      </c>
      <c r="E430">
        <v>2</v>
      </c>
      <c r="F430">
        <v>0</v>
      </c>
      <c r="G430">
        <v>0</v>
      </c>
      <c r="H430" s="1">
        <f t="shared" si="14"/>
        <v>45802</v>
      </c>
      <c r="I430">
        <f t="shared" si="15"/>
        <v>22</v>
      </c>
      <c r="L430" s="8"/>
    </row>
    <row r="431" spans="1:12" x14ac:dyDescent="0.2">
      <c r="A431">
        <v>20250525</v>
      </c>
      <c r="B431" t="s">
        <v>9</v>
      </c>
      <c r="C431" t="s">
        <v>8</v>
      </c>
      <c r="D431">
        <v>2</v>
      </c>
      <c r="E431">
        <v>19</v>
      </c>
      <c r="F431">
        <v>0</v>
      </c>
      <c r="G431">
        <v>0</v>
      </c>
      <c r="H431" s="1">
        <f t="shared" si="14"/>
        <v>45802</v>
      </c>
      <c r="I431">
        <f t="shared" si="15"/>
        <v>22</v>
      </c>
      <c r="L431" s="8"/>
    </row>
    <row r="432" spans="1:12" x14ac:dyDescent="0.2">
      <c r="A432">
        <v>20250525</v>
      </c>
      <c r="B432" t="s">
        <v>10</v>
      </c>
      <c r="C432" t="s">
        <v>18</v>
      </c>
      <c r="D432">
        <v>3</v>
      </c>
      <c r="E432">
        <v>1</v>
      </c>
      <c r="F432">
        <v>0</v>
      </c>
      <c r="G432">
        <v>0</v>
      </c>
      <c r="H432" s="1">
        <f t="shared" si="14"/>
        <v>45802</v>
      </c>
      <c r="I432">
        <f t="shared" si="15"/>
        <v>22</v>
      </c>
      <c r="L432" s="8"/>
    </row>
    <row r="433" spans="1:12" x14ac:dyDescent="0.2">
      <c r="A433">
        <v>20250525</v>
      </c>
      <c r="B433" t="s">
        <v>10</v>
      </c>
      <c r="C433" t="s">
        <v>8</v>
      </c>
      <c r="D433">
        <v>1</v>
      </c>
      <c r="E433">
        <v>40</v>
      </c>
      <c r="F433">
        <v>0</v>
      </c>
      <c r="G433">
        <v>0</v>
      </c>
      <c r="H433" s="1">
        <f t="shared" si="14"/>
        <v>45802</v>
      </c>
      <c r="I433">
        <f t="shared" si="15"/>
        <v>22</v>
      </c>
      <c r="L433" s="8"/>
    </row>
    <row r="434" spans="1:12" x14ac:dyDescent="0.2">
      <c r="A434">
        <v>20250526</v>
      </c>
      <c r="B434" t="s">
        <v>16</v>
      </c>
      <c r="C434" t="s">
        <v>8</v>
      </c>
      <c r="D434">
        <v>3</v>
      </c>
      <c r="E434">
        <v>8</v>
      </c>
      <c r="F434">
        <v>0</v>
      </c>
      <c r="G434">
        <v>0</v>
      </c>
      <c r="H434" s="1">
        <f t="shared" si="14"/>
        <v>45803</v>
      </c>
      <c r="I434">
        <f t="shared" si="15"/>
        <v>22</v>
      </c>
      <c r="L434" s="8"/>
    </row>
    <row r="435" spans="1:12" x14ac:dyDescent="0.2">
      <c r="A435">
        <v>20250526</v>
      </c>
      <c r="B435" t="s">
        <v>7</v>
      </c>
      <c r="C435" t="s">
        <v>8</v>
      </c>
      <c r="D435">
        <v>20</v>
      </c>
      <c r="E435">
        <v>9.5</v>
      </c>
      <c r="F435">
        <v>0</v>
      </c>
      <c r="G435">
        <v>0</v>
      </c>
      <c r="H435" s="1">
        <f t="shared" si="14"/>
        <v>45803</v>
      </c>
      <c r="I435">
        <f t="shared" si="15"/>
        <v>22</v>
      </c>
      <c r="L435" s="8"/>
    </row>
    <row r="436" spans="1:12" x14ac:dyDescent="0.2">
      <c r="A436">
        <v>20250526</v>
      </c>
      <c r="B436" t="s">
        <v>9</v>
      </c>
      <c r="C436" t="s">
        <v>13</v>
      </c>
      <c r="D436">
        <v>7</v>
      </c>
      <c r="E436">
        <v>1</v>
      </c>
      <c r="F436">
        <v>0</v>
      </c>
      <c r="G436">
        <v>0</v>
      </c>
      <c r="H436" s="1">
        <f t="shared" si="14"/>
        <v>45803</v>
      </c>
      <c r="I436">
        <f t="shared" si="15"/>
        <v>22</v>
      </c>
      <c r="L436" s="8"/>
    </row>
    <row r="437" spans="1:12" x14ac:dyDescent="0.2">
      <c r="A437">
        <v>20250526</v>
      </c>
      <c r="B437" t="s">
        <v>9</v>
      </c>
      <c r="C437" t="s">
        <v>8</v>
      </c>
      <c r="D437">
        <v>1</v>
      </c>
      <c r="E437">
        <v>40</v>
      </c>
      <c r="F437">
        <v>0</v>
      </c>
      <c r="G437">
        <v>0</v>
      </c>
      <c r="H437" s="1">
        <f t="shared" si="14"/>
        <v>45803</v>
      </c>
      <c r="I437">
        <f t="shared" si="15"/>
        <v>22</v>
      </c>
      <c r="L437" s="8"/>
    </row>
    <row r="438" spans="1:12" x14ac:dyDescent="0.2">
      <c r="A438">
        <v>20250526</v>
      </c>
      <c r="B438" t="s">
        <v>10</v>
      </c>
      <c r="C438" t="s">
        <v>8</v>
      </c>
      <c r="D438">
        <v>1</v>
      </c>
      <c r="E438">
        <v>25</v>
      </c>
      <c r="F438">
        <v>0</v>
      </c>
      <c r="G438">
        <v>0</v>
      </c>
      <c r="H438" s="1">
        <f t="shared" si="14"/>
        <v>45803</v>
      </c>
      <c r="I438">
        <f t="shared" si="15"/>
        <v>22</v>
      </c>
      <c r="L438" s="8"/>
    </row>
    <row r="439" spans="1:12" x14ac:dyDescent="0.2">
      <c r="A439">
        <v>20250527</v>
      </c>
      <c r="B439" t="s">
        <v>12</v>
      </c>
      <c r="C439" t="s">
        <v>8</v>
      </c>
      <c r="D439">
        <v>9</v>
      </c>
      <c r="E439">
        <v>44.6666666666666</v>
      </c>
      <c r="F439">
        <v>0</v>
      </c>
      <c r="G439">
        <v>0</v>
      </c>
      <c r="H439" s="1">
        <f t="shared" si="14"/>
        <v>45804</v>
      </c>
      <c r="I439">
        <f t="shared" si="15"/>
        <v>22</v>
      </c>
      <c r="L439" s="8"/>
    </row>
    <row r="440" spans="1:12" x14ac:dyDescent="0.2">
      <c r="A440">
        <v>20250527</v>
      </c>
      <c r="B440" t="s">
        <v>7</v>
      </c>
      <c r="C440" t="s">
        <v>8</v>
      </c>
      <c r="D440">
        <v>22</v>
      </c>
      <c r="E440">
        <v>9.1818181818181799</v>
      </c>
      <c r="F440">
        <v>0</v>
      </c>
      <c r="G440">
        <v>0</v>
      </c>
      <c r="H440" s="1">
        <f t="shared" si="14"/>
        <v>45804</v>
      </c>
      <c r="I440">
        <f t="shared" si="15"/>
        <v>22</v>
      </c>
      <c r="L440" s="8"/>
    </row>
    <row r="441" spans="1:12" x14ac:dyDescent="0.2">
      <c r="A441">
        <v>20250527</v>
      </c>
      <c r="B441" t="s">
        <v>14</v>
      </c>
      <c r="C441" t="s">
        <v>8</v>
      </c>
      <c r="D441">
        <v>7</v>
      </c>
      <c r="E441">
        <v>1</v>
      </c>
      <c r="F441">
        <v>0</v>
      </c>
      <c r="G441">
        <v>0</v>
      </c>
      <c r="H441" s="1">
        <f t="shared" si="14"/>
        <v>45804</v>
      </c>
      <c r="I441">
        <f t="shared" si="15"/>
        <v>22</v>
      </c>
      <c r="L441" s="8"/>
    </row>
    <row r="442" spans="1:12" x14ac:dyDescent="0.2">
      <c r="A442">
        <v>20250527</v>
      </c>
      <c r="B442" t="s">
        <v>9</v>
      </c>
      <c r="C442" t="s">
        <v>8</v>
      </c>
      <c r="D442">
        <v>1</v>
      </c>
      <c r="E442">
        <v>2</v>
      </c>
      <c r="F442">
        <v>1</v>
      </c>
      <c r="G442">
        <v>2</v>
      </c>
      <c r="H442" s="1">
        <f t="shared" si="14"/>
        <v>45804</v>
      </c>
      <c r="I442">
        <f t="shared" si="15"/>
        <v>22</v>
      </c>
      <c r="L442" s="8"/>
    </row>
    <row r="443" spans="1:12" x14ac:dyDescent="0.2">
      <c r="A443">
        <v>20250527</v>
      </c>
      <c r="B443" t="s">
        <v>10</v>
      </c>
      <c r="C443" t="s">
        <v>8</v>
      </c>
      <c r="D443">
        <v>3</v>
      </c>
      <c r="E443">
        <v>12.6666666666666</v>
      </c>
      <c r="F443">
        <v>0</v>
      </c>
      <c r="G443">
        <v>0</v>
      </c>
      <c r="H443" s="1">
        <f t="shared" si="14"/>
        <v>45804</v>
      </c>
      <c r="I443">
        <f t="shared" si="15"/>
        <v>22</v>
      </c>
      <c r="L443" s="8"/>
    </row>
    <row r="444" spans="1:12" x14ac:dyDescent="0.2">
      <c r="A444">
        <v>20250528</v>
      </c>
      <c r="B444" t="s">
        <v>12</v>
      </c>
      <c r="C444" t="s">
        <v>8</v>
      </c>
      <c r="D444">
        <v>1</v>
      </c>
      <c r="E444">
        <v>75</v>
      </c>
      <c r="F444">
        <v>0</v>
      </c>
      <c r="G444">
        <v>0</v>
      </c>
      <c r="H444" s="1">
        <f t="shared" si="14"/>
        <v>45805</v>
      </c>
      <c r="I444">
        <f t="shared" si="15"/>
        <v>22</v>
      </c>
      <c r="L444" s="8"/>
    </row>
    <row r="445" spans="1:12" x14ac:dyDescent="0.2">
      <c r="A445">
        <v>20250528</v>
      </c>
      <c r="B445" t="s">
        <v>16</v>
      </c>
      <c r="C445" t="s">
        <v>8</v>
      </c>
      <c r="D445">
        <v>1</v>
      </c>
      <c r="E445">
        <v>36</v>
      </c>
      <c r="F445">
        <v>0</v>
      </c>
      <c r="G445">
        <v>0</v>
      </c>
      <c r="H445" s="1">
        <f t="shared" si="14"/>
        <v>45805</v>
      </c>
      <c r="I445">
        <f t="shared" si="15"/>
        <v>22</v>
      </c>
      <c r="L445" s="8"/>
    </row>
    <row r="446" spans="1:12" x14ac:dyDescent="0.2">
      <c r="A446">
        <v>20250528</v>
      </c>
      <c r="B446" t="s">
        <v>7</v>
      </c>
      <c r="C446" t="s">
        <v>8</v>
      </c>
      <c r="D446">
        <v>10</v>
      </c>
      <c r="E446">
        <v>22.7</v>
      </c>
      <c r="F446">
        <v>0</v>
      </c>
      <c r="G446">
        <v>0</v>
      </c>
      <c r="H446" s="1">
        <f t="shared" si="14"/>
        <v>45805</v>
      </c>
      <c r="I446">
        <f t="shared" si="15"/>
        <v>22</v>
      </c>
      <c r="L446" s="8"/>
    </row>
    <row r="447" spans="1:12" x14ac:dyDescent="0.2">
      <c r="A447">
        <v>20250528</v>
      </c>
      <c r="B447" t="s">
        <v>23</v>
      </c>
      <c r="C447" t="s">
        <v>13</v>
      </c>
      <c r="D447">
        <v>1</v>
      </c>
      <c r="E447">
        <v>1</v>
      </c>
      <c r="F447">
        <v>0</v>
      </c>
      <c r="G447">
        <v>0</v>
      </c>
      <c r="H447" s="1">
        <f t="shared" si="14"/>
        <v>45805</v>
      </c>
      <c r="I447">
        <f t="shared" si="15"/>
        <v>22</v>
      </c>
      <c r="L447" s="8"/>
    </row>
    <row r="448" spans="1:12" x14ac:dyDescent="0.2">
      <c r="A448">
        <v>20250528</v>
      </c>
      <c r="B448" t="s">
        <v>9</v>
      </c>
      <c r="C448" t="s">
        <v>8</v>
      </c>
      <c r="D448">
        <v>10</v>
      </c>
      <c r="E448">
        <v>21</v>
      </c>
      <c r="F448">
        <v>0</v>
      </c>
      <c r="G448">
        <v>4</v>
      </c>
      <c r="H448" s="1">
        <f t="shared" si="14"/>
        <v>45805</v>
      </c>
      <c r="I448">
        <f t="shared" si="15"/>
        <v>22</v>
      </c>
      <c r="L448" s="8"/>
    </row>
    <row r="449" spans="1:12" x14ac:dyDescent="0.2">
      <c r="A449">
        <v>20250528</v>
      </c>
      <c r="B449" t="s">
        <v>10</v>
      </c>
      <c r="C449" t="s">
        <v>8</v>
      </c>
      <c r="D449">
        <v>3</v>
      </c>
      <c r="E449">
        <v>29</v>
      </c>
      <c r="F449">
        <v>0</v>
      </c>
      <c r="G449">
        <v>2</v>
      </c>
      <c r="H449" s="1">
        <f t="shared" si="14"/>
        <v>45805</v>
      </c>
      <c r="I449">
        <f t="shared" si="15"/>
        <v>22</v>
      </c>
      <c r="L449" s="8"/>
    </row>
    <row r="450" spans="1:12" x14ac:dyDescent="0.2">
      <c r="A450">
        <v>20250529</v>
      </c>
      <c r="B450" t="s">
        <v>7</v>
      </c>
      <c r="C450" t="s">
        <v>8</v>
      </c>
      <c r="D450">
        <v>9</v>
      </c>
      <c r="E450">
        <v>12.6666666666666</v>
      </c>
      <c r="F450">
        <v>0</v>
      </c>
      <c r="G450">
        <v>0</v>
      </c>
      <c r="H450" s="1">
        <f t="shared" ref="H450:H513" si="16">DATE(LEFT(A450,4),MID(A450,5,2),RIGHT(A450,2))</f>
        <v>45806</v>
      </c>
      <c r="I450">
        <f t="shared" ref="I450:I513" si="17">WEEKNUM(H450)</f>
        <v>22</v>
      </c>
      <c r="L450" s="8"/>
    </row>
    <row r="451" spans="1:12" x14ac:dyDescent="0.2">
      <c r="A451">
        <v>20250529</v>
      </c>
      <c r="B451" t="s">
        <v>9</v>
      </c>
      <c r="C451" t="s">
        <v>8</v>
      </c>
      <c r="D451">
        <v>15</v>
      </c>
      <c r="E451">
        <v>9.2666666666666604</v>
      </c>
      <c r="F451">
        <v>0</v>
      </c>
      <c r="G451">
        <v>0</v>
      </c>
      <c r="H451" s="1">
        <f t="shared" si="16"/>
        <v>45806</v>
      </c>
      <c r="I451">
        <f t="shared" si="17"/>
        <v>22</v>
      </c>
      <c r="L451" s="8"/>
    </row>
    <row r="452" spans="1:12" x14ac:dyDescent="0.2">
      <c r="A452">
        <v>20250529</v>
      </c>
      <c r="B452" t="s">
        <v>9</v>
      </c>
      <c r="C452" t="s">
        <v>32</v>
      </c>
      <c r="D452">
        <v>1</v>
      </c>
      <c r="E452">
        <v>10</v>
      </c>
      <c r="F452">
        <v>0</v>
      </c>
      <c r="G452">
        <v>0</v>
      </c>
      <c r="H452" s="1">
        <f t="shared" si="16"/>
        <v>45806</v>
      </c>
      <c r="I452">
        <f t="shared" si="17"/>
        <v>22</v>
      </c>
      <c r="L452" s="8"/>
    </row>
    <row r="453" spans="1:12" x14ac:dyDescent="0.2">
      <c r="A453">
        <v>20250529</v>
      </c>
      <c r="B453" t="s">
        <v>10</v>
      </c>
      <c r="C453" t="s">
        <v>8</v>
      </c>
      <c r="D453">
        <v>4</v>
      </c>
      <c r="E453">
        <v>21.5</v>
      </c>
      <c r="F453">
        <v>0</v>
      </c>
      <c r="G453">
        <v>0</v>
      </c>
      <c r="H453" s="1">
        <f t="shared" si="16"/>
        <v>45806</v>
      </c>
      <c r="I453">
        <f t="shared" si="17"/>
        <v>22</v>
      </c>
      <c r="L453" s="8"/>
    </row>
    <row r="454" spans="1:12" x14ac:dyDescent="0.2">
      <c r="A454">
        <v>20250530</v>
      </c>
      <c r="B454" t="s">
        <v>7</v>
      </c>
      <c r="C454" t="s">
        <v>8</v>
      </c>
      <c r="D454">
        <v>5</v>
      </c>
      <c r="E454">
        <v>10</v>
      </c>
      <c r="F454">
        <v>0</v>
      </c>
      <c r="G454">
        <v>0</v>
      </c>
      <c r="H454" s="1">
        <f t="shared" si="16"/>
        <v>45807</v>
      </c>
      <c r="I454">
        <f t="shared" si="17"/>
        <v>22</v>
      </c>
      <c r="L454" s="8"/>
    </row>
    <row r="455" spans="1:12" x14ac:dyDescent="0.2">
      <c r="A455">
        <v>20250530</v>
      </c>
      <c r="B455" t="s">
        <v>9</v>
      </c>
      <c r="C455" t="s">
        <v>8</v>
      </c>
      <c r="D455">
        <v>9</v>
      </c>
      <c r="E455">
        <v>20.1111111111111</v>
      </c>
      <c r="F455">
        <v>0</v>
      </c>
      <c r="G455">
        <v>0</v>
      </c>
      <c r="H455" s="1">
        <f t="shared" si="16"/>
        <v>45807</v>
      </c>
      <c r="I455">
        <f t="shared" si="17"/>
        <v>22</v>
      </c>
      <c r="L455" s="8"/>
    </row>
    <row r="456" spans="1:12" x14ac:dyDescent="0.2">
      <c r="A456">
        <v>20250530</v>
      </c>
      <c r="B456" t="s">
        <v>10</v>
      </c>
      <c r="C456" t="s">
        <v>8</v>
      </c>
      <c r="D456">
        <v>6</v>
      </c>
      <c r="E456">
        <v>25.1666666666666</v>
      </c>
      <c r="F456">
        <v>0</v>
      </c>
      <c r="G456">
        <v>0</v>
      </c>
      <c r="H456" s="1">
        <f t="shared" si="16"/>
        <v>45807</v>
      </c>
      <c r="I456">
        <f t="shared" si="17"/>
        <v>22</v>
      </c>
      <c r="L456" s="8"/>
    </row>
    <row r="457" spans="1:12" x14ac:dyDescent="0.2">
      <c r="A457">
        <v>20250531</v>
      </c>
      <c r="B457" t="s">
        <v>12</v>
      </c>
      <c r="C457" t="s">
        <v>8</v>
      </c>
      <c r="D457">
        <v>3</v>
      </c>
      <c r="E457">
        <v>46.6666666666666</v>
      </c>
      <c r="F457">
        <v>0</v>
      </c>
      <c r="G457">
        <v>0</v>
      </c>
      <c r="H457" s="1">
        <f t="shared" si="16"/>
        <v>45808</v>
      </c>
      <c r="I457">
        <f t="shared" si="17"/>
        <v>22</v>
      </c>
      <c r="L457" s="8"/>
    </row>
    <row r="458" spans="1:12" x14ac:dyDescent="0.2">
      <c r="A458">
        <v>20250531</v>
      </c>
      <c r="B458" t="s">
        <v>7</v>
      </c>
      <c r="C458" t="s">
        <v>8</v>
      </c>
      <c r="D458">
        <v>10</v>
      </c>
      <c r="E458">
        <v>14.9</v>
      </c>
      <c r="F458">
        <v>0</v>
      </c>
      <c r="G458">
        <v>0</v>
      </c>
      <c r="H458" s="1">
        <f t="shared" si="16"/>
        <v>45808</v>
      </c>
      <c r="I458">
        <f t="shared" si="17"/>
        <v>22</v>
      </c>
      <c r="L458" s="8"/>
    </row>
    <row r="459" spans="1:12" x14ac:dyDescent="0.2">
      <c r="A459">
        <v>20250531</v>
      </c>
      <c r="B459" t="s">
        <v>23</v>
      </c>
      <c r="C459" t="s">
        <v>15</v>
      </c>
      <c r="D459">
        <v>3</v>
      </c>
      <c r="E459">
        <v>35.3333333333333</v>
      </c>
      <c r="F459">
        <v>0</v>
      </c>
      <c r="G459">
        <v>0</v>
      </c>
      <c r="H459" s="1">
        <f t="shared" si="16"/>
        <v>45808</v>
      </c>
      <c r="I459">
        <f t="shared" si="17"/>
        <v>22</v>
      </c>
      <c r="L459" s="8"/>
    </row>
    <row r="460" spans="1:12" x14ac:dyDescent="0.2">
      <c r="A460">
        <v>20250531</v>
      </c>
      <c r="B460" t="s">
        <v>23</v>
      </c>
      <c r="C460" t="s">
        <v>8</v>
      </c>
      <c r="D460">
        <v>1</v>
      </c>
      <c r="E460">
        <v>1</v>
      </c>
      <c r="F460">
        <v>0</v>
      </c>
      <c r="G460">
        <v>0</v>
      </c>
      <c r="H460" s="1">
        <f t="shared" si="16"/>
        <v>45808</v>
      </c>
      <c r="I460">
        <f t="shared" si="17"/>
        <v>22</v>
      </c>
      <c r="L460" s="8"/>
    </row>
    <row r="461" spans="1:12" x14ac:dyDescent="0.2">
      <c r="A461">
        <v>20250531</v>
      </c>
      <c r="B461" t="s">
        <v>9</v>
      </c>
      <c r="C461" t="s">
        <v>8</v>
      </c>
      <c r="D461">
        <v>19</v>
      </c>
      <c r="E461">
        <v>9.6842105263157894</v>
      </c>
      <c r="F461">
        <v>0</v>
      </c>
      <c r="G461">
        <v>0</v>
      </c>
      <c r="H461" s="1">
        <f t="shared" si="16"/>
        <v>45808</v>
      </c>
      <c r="I461">
        <f t="shared" si="17"/>
        <v>22</v>
      </c>
      <c r="L461" s="8"/>
    </row>
    <row r="462" spans="1:12" x14ac:dyDescent="0.2">
      <c r="A462">
        <v>20250531</v>
      </c>
      <c r="B462" t="s">
        <v>9</v>
      </c>
      <c r="C462" t="s">
        <v>22</v>
      </c>
      <c r="D462">
        <v>1</v>
      </c>
      <c r="E462">
        <v>38</v>
      </c>
      <c r="F462">
        <v>0</v>
      </c>
      <c r="G462">
        <v>0</v>
      </c>
      <c r="H462" s="1">
        <f t="shared" si="16"/>
        <v>45808</v>
      </c>
      <c r="I462">
        <f t="shared" si="17"/>
        <v>22</v>
      </c>
      <c r="L462" s="8"/>
    </row>
    <row r="463" spans="1:12" x14ac:dyDescent="0.2">
      <c r="A463">
        <v>20250531</v>
      </c>
      <c r="B463" t="s">
        <v>10</v>
      </c>
      <c r="C463" t="s">
        <v>8</v>
      </c>
      <c r="D463">
        <v>3</v>
      </c>
      <c r="E463">
        <v>24.6666666666666</v>
      </c>
      <c r="F463">
        <v>0</v>
      </c>
      <c r="G463">
        <v>0</v>
      </c>
      <c r="H463" s="1">
        <f t="shared" si="16"/>
        <v>45808</v>
      </c>
      <c r="I463">
        <f t="shared" si="17"/>
        <v>22</v>
      </c>
      <c r="L463" s="8"/>
    </row>
    <row r="464" spans="1:12" x14ac:dyDescent="0.2">
      <c r="A464">
        <v>20250531</v>
      </c>
      <c r="B464" t="s">
        <v>10</v>
      </c>
      <c r="C464" t="s">
        <v>11</v>
      </c>
      <c r="D464">
        <v>1</v>
      </c>
      <c r="E464">
        <v>1</v>
      </c>
      <c r="F464">
        <v>1</v>
      </c>
      <c r="G464">
        <v>10</v>
      </c>
      <c r="H464" s="1">
        <f t="shared" si="16"/>
        <v>45808</v>
      </c>
      <c r="I464">
        <f t="shared" si="17"/>
        <v>22</v>
      </c>
      <c r="L464" s="8"/>
    </row>
    <row r="465" spans="1:12" x14ac:dyDescent="0.2">
      <c r="A465">
        <v>20250601</v>
      </c>
      <c r="B465" t="s">
        <v>12</v>
      </c>
      <c r="C465" t="s">
        <v>8</v>
      </c>
      <c r="D465">
        <v>1</v>
      </c>
      <c r="E465">
        <v>65</v>
      </c>
      <c r="F465">
        <v>0</v>
      </c>
      <c r="G465">
        <v>0</v>
      </c>
      <c r="H465" s="1">
        <f t="shared" si="16"/>
        <v>45809</v>
      </c>
      <c r="I465">
        <f t="shared" si="17"/>
        <v>23</v>
      </c>
      <c r="L465" s="8"/>
    </row>
    <row r="466" spans="1:12" x14ac:dyDescent="0.2">
      <c r="A466">
        <v>20250601</v>
      </c>
      <c r="B466" t="s">
        <v>16</v>
      </c>
      <c r="C466" t="s">
        <v>8</v>
      </c>
      <c r="D466">
        <v>1</v>
      </c>
      <c r="E466">
        <v>29</v>
      </c>
      <c r="F466">
        <v>0</v>
      </c>
      <c r="G466">
        <v>0</v>
      </c>
      <c r="H466" s="1">
        <f t="shared" si="16"/>
        <v>45809</v>
      </c>
      <c r="I466">
        <f t="shared" si="17"/>
        <v>23</v>
      </c>
      <c r="L466" s="8"/>
    </row>
    <row r="467" spans="1:12" x14ac:dyDescent="0.2">
      <c r="A467">
        <v>20250601</v>
      </c>
      <c r="B467" t="s">
        <v>7</v>
      </c>
      <c r="C467" t="s">
        <v>8</v>
      </c>
      <c r="D467">
        <v>4</v>
      </c>
      <c r="E467">
        <v>11.25</v>
      </c>
      <c r="F467">
        <v>0</v>
      </c>
      <c r="G467">
        <v>0</v>
      </c>
      <c r="H467" s="1">
        <f t="shared" si="16"/>
        <v>45809</v>
      </c>
      <c r="I467">
        <f t="shared" si="17"/>
        <v>23</v>
      </c>
      <c r="L467" s="8"/>
    </row>
    <row r="468" spans="1:12" x14ac:dyDescent="0.2">
      <c r="A468">
        <v>20250601</v>
      </c>
      <c r="B468" t="s">
        <v>7</v>
      </c>
      <c r="C468" t="s">
        <v>28</v>
      </c>
      <c r="D468">
        <v>1</v>
      </c>
      <c r="E468">
        <v>38</v>
      </c>
      <c r="F468">
        <v>0</v>
      </c>
      <c r="G468">
        <v>0</v>
      </c>
      <c r="H468" s="1">
        <f t="shared" si="16"/>
        <v>45809</v>
      </c>
      <c r="I468">
        <f t="shared" si="17"/>
        <v>23</v>
      </c>
      <c r="L468" s="8"/>
    </row>
    <row r="469" spans="1:12" x14ac:dyDescent="0.2">
      <c r="A469">
        <v>20250601</v>
      </c>
      <c r="B469" t="s">
        <v>14</v>
      </c>
      <c r="C469" t="s">
        <v>8</v>
      </c>
      <c r="D469">
        <v>1</v>
      </c>
      <c r="E469">
        <v>26</v>
      </c>
      <c r="F469">
        <v>0</v>
      </c>
      <c r="G469">
        <v>0</v>
      </c>
      <c r="H469" s="1">
        <f t="shared" si="16"/>
        <v>45809</v>
      </c>
      <c r="I469">
        <f t="shared" si="17"/>
        <v>23</v>
      </c>
      <c r="L469" s="8"/>
    </row>
    <row r="470" spans="1:12" x14ac:dyDescent="0.2">
      <c r="A470">
        <v>20250601</v>
      </c>
      <c r="B470" t="s">
        <v>9</v>
      </c>
      <c r="C470" t="s">
        <v>8</v>
      </c>
      <c r="D470">
        <v>10</v>
      </c>
      <c r="E470">
        <v>6.9</v>
      </c>
      <c r="F470">
        <v>0</v>
      </c>
      <c r="G470">
        <v>0</v>
      </c>
      <c r="H470" s="1">
        <f t="shared" si="16"/>
        <v>45809</v>
      </c>
      <c r="I470">
        <f t="shared" si="17"/>
        <v>23</v>
      </c>
      <c r="L470" s="8"/>
    </row>
    <row r="471" spans="1:12" x14ac:dyDescent="0.2">
      <c r="A471">
        <v>20250601</v>
      </c>
      <c r="B471" t="s">
        <v>10</v>
      </c>
      <c r="C471" t="s">
        <v>8</v>
      </c>
      <c r="D471">
        <v>8</v>
      </c>
      <c r="E471">
        <v>17.5</v>
      </c>
      <c r="F471">
        <v>0</v>
      </c>
      <c r="G471">
        <v>0</v>
      </c>
      <c r="H471" s="1">
        <f t="shared" si="16"/>
        <v>45809</v>
      </c>
      <c r="I471">
        <f t="shared" si="17"/>
        <v>23</v>
      </c>
      <c r="L471" s="8"/>
    </row>
    <row r="472" spans="1:12" x14ac:dyDescent="0.2">
      <c r="A472">
        <v>20250601</v>
      </c>
      <c r="B472" t="s">
        <v>10</v>
      </c>
      <c r="C472" t="s">
        <v>11</v>
      </c>
      <c r="D472">
        <v>7</v>
      </c>
      <c r="E472">
        <v>83.142857142857096</v>
      </c>
      <c r="F472">
        <v>0</v>
      </c>
      <c r="G472">
        <v>0</v>
      </c>
      <c r="H472" s="1">
        <f t="shared" si="16"/>
        <v>45809</v>
      </c>
      <c r="I472">
        <f t="shared" si="17"/>
        <v>23</v>
      </c>
      <c r="L472" s="8"/>
    </row>
    <row r="473" spans="1:12" x14ac:dyDescent="0.2">
      <c r="A473">
        <v>20250602</v>
      </c>
      <c r="B473" t="s">
        <v>19</v>
      </c>
      <c r="C473" t="s">
        <v>8</v>
      </c>
      <c r="D473">
        <v>1</v>
      </c>
      <c r="E473">
        <v>18</v>
      </c>
      <c r="F473">
        <v>0</v>
      </c>
      <c r="G473">
        <v>0</v>
      </c>
      <c r="H473" s="1">
        <f t="shared" si="16"/>
        <v>45810</v>
      </c>
      <c r="I473">
        <f t="shared" si="17"/>
        <v>23</v>
      </c>
      <c r="L473" s="8"/>
    </row>
    <row r="474" spans="1:12" x14ac:dyDescent="0.2">
      <c r="A474">
        <v>20250602</v>
      </c>
      <c r="B474" t="s">
        <v>16</v>
      </c>
      <c r="C474" t="s">
        <v>8</v>
      </c>
      <c r="D474">
        <v>1</v>
      </c>
      <c r="E474">
        <v>1</v>
      </c>
      <c r="F474">
        <v>0</v>
      </c>
      <c r="G474">
        <v>0</v>
      </c>
      <c r="H474" s="1">
        <f t="shared" si="16"/>
        <v>45810</v>
      </c>
      <c r="I474">
        <f t="shared" si="17"/>
        <v>23</v>
      </c>
      <c r="L474" s="8"/>
    </row>
    <row r="475" spans="1:12" x14ac:dyDescent="0.2">
      <c r="A475">
        <v>20250602</v>
      </c>
      <c r="B475" t="s">
        <v>7</v>
      </c>
      <c r="C475" t="s">
        <v>8</v>
      </c>
      <c r="D475">
        <v>8</v>
      </c>
      <c r="E475">
        <v>23.375</v>
      </c>
      <c r="F475">
        <v>0</v>
      </c>
      <c r="G475">
        <v>0</v>
      </c>
      <c r="H475" s="1">
        <f t="shared" si="16"/>
        <v>45810</v>
      </c>
      <c r="I475">
        <f t="shared" si="17"/>
        <v>23</v>
      </c>
      <c r="L475" s="8"/>
    </row>
    <row r="476" spans="1:12" x14ac:dyDescent="0.2">
      <c r="A476">
        <v>20250602</v>
      </c>
      <c r="B476" t="s">
        <v>9</v>
      </c>
      <c r="C476" t="s">
        <v>8</v>
      </c>
      <c r="D476">
        <v>8</v>
      </c>
      <c r="E476">
        <v>24</v>
      </c>
      <c r="F476">
        <v>0</v>
      </c>
      <c r="G476">
        <v>0</v>
      </c>
      <c r="H476" s="1">
        <f t="shared" si="16"/>
        <v>45810</v>
      </c>
      <c r="I476">
        <f t="shared" si="17"/>
        <v>23</v>
      </c>
      <c r="L476" s="8"/>
    </row>
    <row r="477" spans="1:12" x14ac:dyDescent="0.2">
      <c r="A477">
        <v>20250602</v>
      </c>
      <c r="B477" t="s">
        <v>9</v>
      </c>
      <c r="C477" t="s">
        <v>18</v>
      </c>
      <c r="D477">
        <v>1</v>
      </c>
      <c r="E477">
        <v>1</v>
      </c>
      <c r="F477">
        <v>0</v>
      </c>
      <c r="G477">
        <v>2</v>
      </c>
      <c r="H477" s="1">
        <f t="shared" si="16"/>
        <v>45810</v>
      </c>
      <c r="I477">
        <f t="shared" si="17"/>
        <v>23</v>
      </c>
      <c r="L477" s="8"/>
    </row>
    <row r="478" spans="1:12" x14ac:dyDescent="0.2">
      <c r="A478">
        <v>20250602</v>
      </c>
      <c r="B478" t="s">
        <v>10</v>
      </c>
      <c r="C478" t="s">
        <v>11</v>
      </c>
      <c r="D478">
        <v>7</v>
      </c>
      <c r="E478">
        <v>57.857142857142797</v>
      </c>
      <c r="F478">
        <v>0</v>
      </c>
      <c r="G478">
        <v>0</v>
      </c>
      <c r="H478" s="1">
        <f t="shared" si="16"/>
        <v>45810</v>
      </c>
      <c r="I478">
        <f t="shared" si="17"/>
        <v>23</v>
      </c>
      <c r="L478" s="8"/>
    </row>
    <row r="479" spans="1:12" x14ac:dyDescent="0.2">
      <c r="A479">
        <v>20250602</v>
      </c>
      <c r="B479" t="s">
        <v>10</v>
      </c>
      <c r="C479" t="s">
        <v>8</v>
      </c>
      <c r="D479">
        <v>6</v>
      </c>
      <c r="E479">
        <v>27</v>
      </c>
      <c r="F479">
        <v>0</v>
      </c>
      <c r="G479">
        <v>0</v>
      </c>
      <c r="H479" s="1">
        <f t="shared" si="16"/>
        <v>45810</v>
      </c>
      <c r="I479">
        <f t="shared" si="17"/>
        <v>23</v>
      </c>
      <c r="L479" s="8"/>
    </row>
    <row r="480" spans="1:12" x14ac:dyDescent="0.2">
      <c r="A480">
        <v>20250603</v>
      </c>
      <c r="B480" t="s">
        <v>12</v>
      </c>
      <c r="C480" t="s">
        <v>8</v>
      </c>
      <c r="D480">
        <v>9</v>
      </c>
      <c r="E480">
        <v>36.3333333333333</v>
      </c>
      <c r="F480">
        <v>0</v>
      </c>
      <c r="G480">
        <v>0</v>
      </c>
      <c r="H480" s="1">
        <f t="shared" si="16"/>
        <v>45811</v>
      </c>
      <c r="I480">
        <f t="shared" si="17"/>
        <v>23</v>
      </c>
      <c r="L480" s="8"/>
    </row>
    <row r="481" spans="1:12" x14ac:dyDescent="0.2">
      <c r="A481">
        <v>20250603</v>
      </c>
      <c r="B481" t="s">
        <v>16</v>
      </c>
      <c r="C481" t="s">
        <v>8</v>
      </c>
      <c r="D481">
        <v>4</v>
      </c>
      <c r="E481">
        <v>18.75</v>
      </c>
      <c r="F481">
        <v>0</v>
      </c>
      <c r="G481">
        <v>0</v>
      </c>
      <c r="H481" s="1">
        <f t="shared" si="16"/>
        <v>45811</v>
      </c>
      <c r="I481">
        <f t="shared" si="17"/>
        <v>23</v>
      </c>
      <c r="L481" s="8"/>
    </row>
    <row r="482" spans="1:12" x14ac:dyDescent="0.2">
      <c r="A482">
        <v>20250603</v>
      </c>
      <c r="B482" t="s">
        <v>7</v>
      </c>
      <c r="C482" t="s">
        <v>8</v>
      </c>
      <c r="D482">
        <v>4</v>
      </c>
      <c r="E482">
        <v>9</v>
      </c>
      <c r="F482">
        <v>0</v>
      </c>
      <c r="G482">
        <v>0</v>
      </c>
      <c r="H482" s="1">
        <f t="shared" si="16"/>
        <v>45811</v>
      </c>
      <c r="I482">
        <f t="shared" si="17"/>
        <v>23</v>
      </c>
      <c r="L482" s="8"/>
    </row>
    <row r="483" spans="1:12" x14ac:dyDescent="0.2">
      <c r="A483">
        <v>20250603</v>
      </c>
      <c r="B483" t="s">
        <v>9</v>
      </c>
      <c r="C483" t="s">
        <v>8</v>
      </c>
      <c r="D483">
        <v>32</v>
      </c>
      <c r="E483">
        <v>20.25</v>
      </c>
      <c r="F483">
        <v>0</v>
      </c>
      <c r="G483">
        <v>0</v>
      </c>
      <c r="H483" s="1">
        <f t="shared" si="16"/>
        <v>45811</v>
      </c>
      <c r="I483">
        <f t="shared" si="17"/>
        <v>23</v>
      </c>
      <c r="L483" s="8"/>
    </row>
    <row r="484" spans="1:12" x14ac:dyDescent="0.2">
      <c r="A484">
        <v>20250603</v>
      </c>
      <c r="B484" t="s">
        <v>9</v>
      </c>
      <c r="C484" t="s">
        <v>22</v>
      </c>
      <c r="D484">
        <v>1</v>
      </c>
      <c r="E484">
        <v>64</v>
      </c>
      <c r="F484">
        <v>0</v>
      </c>
      <c r="G484">
        <v>0</v>
      </c>
      <c r="H484" s="1">
        <f t="shared" si="16"/>
        <v>45811</v>
      </c>
      <c r="I484">
        <f t="shared" si="17"/>
        <v>23</v>
      </c>
      <c r="L484" s="8"/>
    </row>
    <row r="485" spans="1:12" x14ac:dyDescent="0.2">
      <c r="A485">
        <v>20250603</v>
      </c>
      <c r="B485" t="s">
        <v>10</v>
      </c>
      <c r="C485" t="s">
        <v>11</v>
      </c>
      <c r="D485">
        <v>7</v>
      </c>
      <c r="E485">
        <v>57.142857142857103</v>
      </c>
      <c r="F485">
        <v>0</v>
      </c>
      <c r="G485">
        <v>0</v>
      </c>
      <c r="H485" s="1">
        <f t="shared" si="16"/>
        <v>45811</v>
      </c>
      <c r="I485">
        <f t="shared" si="17"/>
        <v>23</v>
      </c>
      <c r="L485" s="8"/>
    </row>
    <row r="486" spans="1:12" x14ac:dyDescent="0.2">
      <c r="A486">
        <v>20250603</v>
      </c>
      <c r="B486" t="s">
        <v>10</v>
      </c>
      <c r="C486" t="s">
        <v>8</v>
      </c>
      <c r="D486">
        <v>3</v>
      </c>
      <c r="E486">
        <v>28</v>
      </c>
      <c r="F486">
        <v>0</v>
      </c>
      <c r="G486">
        <v>0</v>
      </c>
      <c r="H486" s="1">
        <f t="shared" si="16"/>
        <v>45811</v>
      </c>
      <c r="I486">
        <f t="shared" si="17"/>
        <v>23</v>
      </c>
      <c r="L486" s="8"/>
    </row>
    <row r="487" spans="1:12" x14ac:dyDescent="0.2">
      <c r="A487">
        <v>20250603</v>
      </c>
      <c r="B487" t="s">
        <v>10</v>
      </c>
      <c r="C487" t="s">
        <v>17</v>
      </c>
      <c r="D487">
        <v>1</v>
      </c>
      <c r="E487">
        <v>69</v>
      </c>
      <c r="F487">
        <v>0</v>
      </c>
      <c r="G487">
        <v>0</v>
      </c>
      <c r="H487" s="1">
        <f t="shared" si="16"/>
        <v>45811</v>
      </c>
      <c r="I487">
        <f t="shared" si="17"/>
        <v>23</v>
      </c>
      <c r="L487" s="8"/>
    </row>
    <row r="488" spans="1:12" x14ac:dyDescent="0.2">
      <c r="A488">
        <v>20250604</v>
      </c>
      <c r="B488" t="s">
        <v>12</v>
      </c>
      <c r="C488" t="s">
        <v>8</v>
      </c>
      <c r="D488">
        <v>7</v>
      </c>
      <c r="E488">
        <v>35.714285714285701</v>
      </c>
      <c r="F488">
        <v>0</v>
      </c>
      <c r="G488">
        <v>0</v>
      </c>
      <c r="H488" s="1">
        <f t="shared" si="16"/>
        <v>45812</v>
      </c>
      <c r="I488">
        <f t="shared" si="17"/>
        <v>23</v>
      </c>
      <c r="L488" s="8"/>
    </row>
    <row r="489" spans="1:12" x14ac:dyDescent="0.2">
      <c r="A489">
        <v>20250604</v>
      </c>
      <c r="B489" t="s">
        <v>7</v>
      </c>
      <c r="C489" t="s">
        <v>8</v>
      </c>
      <c r="D489">
        <v>3</v>
      </c>
      <c r="E489">
        <v>9.3333333333333304</v>
      </c>
      <c r="F489">
        <v>0</v>
      </c>
      <c r="G489">
        <v>0</v>
      </c>
      <c r="H489" s="1">
        <f t="shared" si="16"/>
        <v>45812</v>
      </c>
      <c r="I489">
        <f t="shared" si="17"/>
        <v>23</v>
      </c>
      <c r="L489" s="8"/>
    </row>
    <row r="490" spans="1:12" x14ac:dyDescent="0.2">
      <c r="A490">
        <v>20250604</v>
      </c>
      <c r="B490" t="s">
        <v>9</v>
      </c>
      <c r="C490" t="s">
        <v>8</v>
      </c>
      <c r="D490">
        <v>28</v>
      </c>
      <c r="E490">
        <v>21.25</v>
      </c>
      <c r="F490">
        <v>0</v>
      </c>
      <c r="G490">
        <v>0</v>
      </c>
      <c r="H490" s="1">
        <f t="shared" si="16"/>
        <v>45812</v>
      </c>
      <c r="I490">
        <f t="shared" si="17"/>
        <v>23</v>
      </c>
      <c r="L490" s="8"/>
    </row>
    <row r="491" spans="1:12" x14ac:dyDescent="0.2">
      <c r="A491">
        <v>20250604</v>
      </c>
      <c r="B491" t="s">
        <v>10</v>
      </c>
      <c r="C491" t="s">
        <v>11</v>
      </c>
      <c r="D491">
        <v>9</v>
      </c>
      <c r="E491">
        <v>48.7777777777777</v>
      </c>
      <c r="F491">
        <v>0</v>
      </c>
      <c r="G491">
        <v>0</v>
      </c>
      <c r="H491" s="1">
        <f t="shared" si="16"/>
        <v>45812</v>
      </c>
      <c r="I491">
        <f t="shared" si="17"/>
        <v>23</v>
      </c>
      <c r="L491" s="8"/>
    </row>
    <row r="492" spans="1:12" x14ac:dyDescent="0.2">
      <c r="A492">
        <v>20250604</v>
      </c>
      <c r="B492" t="s">
        <v>10</v>
      </c>
      <c r="C492" t="s">
        <v>8</v>
      </c>
      <c r="D492">
        <v>4</v>
      </c>
      <c r="E492">
        <v>32</v>
      </c>
      <c r="F492">
        <v>0</v>
      </c>
      <c r="G492">
        <v>0</v>
      </c>
      <c r="H492" s="1">
        <f t="shared" si="16"/>
        <v>45812</v>
      </c>
      <c r="I492">
        <f t="shared" si="17"/>
        <v>23</v>
      </c>
      <c r="L492" s="8"/>
    </row>
    <row r="493" spans="1:12" x14ac:dyDescent="0.2">
      <c r="A493">
        <v>20250605</v>
      </c>
      <c r="B493" t="s">
        <v>12</v>
      </c>
      <c r="C493" t="s">
        <v>8</v>
      </c>
      <c r="D493">
        <v>5</v>
      </c>
      <c r="E493">
        <v>39.6</v>
      </c>
      <c r="F493">
        <v>0</v>
      </c>
      <c r="G493">
        <v>0</v>
      </c>
      <c r="H493" s="1">
        <f t="shared" si="16"/>
        <v>45813</v>
      </c>
      <c r="I493">
        <f t="shared" si="17"/>
        <v>23</v>
      </c>
      <c r="L493" s="8"/>
    </row>
    <row r="494" spans="1:12" x14ac:dyDescent="0.2">
      <c r="A494">
        <v>20250605</v>
      </c>
      <c r="B494" t="s">
        <v>16</v>
      </c>
      <c r="C494" t="s">
        <v>8</v>
      </c>
      <c r="D494">
        <v>2</v>
      </c>
      <c r="E494">
        <v>52</v>
      </c>
      <c r="F494">
        <v>0</v>
      </c>
      <c r="G494">
        <v>0</v>
      </c>
      <c r="H494" s="1">
        <f t="shared" si="16"/>
        <v>45813</v>
      </c>
      <c r="I494">
        <f t="shared" si="17"/>
        <v>23</v>
      </c>
      <c r="L494" s="8"/>
    </row>
    <row r="495" spans="1:12" x14ac:dyDescent="0.2">
      <c r="A495">
        <v>20250605</v>
      </c>
      <c r="B495" t="s">
        <v>16</v>
      </c>
      <c r="C495" t="s">
        <v>13</v>
      </c>
      <c r="D495">
        <v>2</v>
      </c>
      <c r="E495">
        <v>1</v>
      </c>
      <c r="F495">
        <v>0</v>
      </c>
      <c r="G495">
        <v>0</v>
      </c>
      <c r="H495" s="1">
        <f t="shared" si="16"/>
        <v>45813</v>
      </c>
      <c r="I495">
        <f t="shared" si="17"/>
        <v>23</v>
      </c>
      <c r="L495" s="8"/>
    </row>
    <row r="496" spans="1:12" x14ac:dyDescent="0.2">
      <c r="A496">
        <v>20250605</v>
      </c>
      <c r="B496" t="s">
        <v>7</v>
      </c>
      <c r="C496" t="s">
        <v>13</v>
      </c>
      <c r="D496">
        <v>8</v>
      </c>
      <c r="E496">
        <v>1</v>
      </c>
      <c r="F496">
        <v>0</v>
      </c>
      <c r="G496">
        <v>0</v>
      </c>
      <c r="H496" s="1">
        <f t="shared" si="16"/>
        <v>45813</v>
      </c>
      <c r="I496">
        <f t="shared" si="17"/>
        <v>23</v>
      </c>
      <c r="L496" s="8"/>
    </row>
    <row r="497" spans="1:12" x14ac:dyDescent="0.2">
      <c r="A497">
        <v>20250605</v>
      </c>
      <c r="B497" t="s">
        <v>7</v>
      </c>
      <c r="C497" t="s">
        <v>8</v>
      </c>
      <c r="D497">
        <v>4</v>
      </c>
      <c r="E497">
        <v>22</v>
      </c>
      <c r="F497">
        <v>0</v>
      </c>
      <c r="G497">
        <v>0</v>
      </c>
      <c r="H497" s="1">
        <f t="shared" si="16"/>
        <v>45813</v>
      </c>
      <c r="I497">
        <f t="shared" si="17"/>
        <v>23</v>
      </c>
      <c r="L497" s="8"/>
    </row>
    <row r="498" spans="1:12" x14ac:dyDescent="0.2">
      <c r="A498">
        <v>20250605</v>
      </c>
      <c r="B498" t="s">
        <v>23</v>
      </c>
      <c r="C498" t="s">
        <v>8</v>
      </c>
      <c r="D498">
        <v>1</v>
      </c>
      <c r="E498">
        <v>90</v>
      </c>
      <c r="F498">
        <v>0</v>
      </c>
      <c r="G498">
        <v>0</v>
      </c>
      <c r="H498" s="1">
        <f t="shared" si="16"/>
        <v>45813</v>
      </c>
      <c r="I498">
        <f t="shared" si="17"/>
        <v>23</v>
      </c>
      <c r="L498" s="8"/>
    </row>
    <row r="499" spans="1:12" x14ac:dyDescent="0.2">
      <c r="A499">
        <v>20250605</v>
      </c>
      <c r="B499" t="s">
        <v>9</v>
      </c>
      <c r="C499" t="s">
        <v>8</v>
      </c>
      <c r="D499">
        <v>14</v>
      </c>
      <c r="E499">
        <v>23</v>
      </c>
      <c r="F499">
        <v>0</v>
      </c>
      <c r="G499">
        <v>0</v>
      </c>
      <c r="H499" s="1">
        <f t="shared" si="16"/>
        <v>45813</v>
      </c>
      <c r="I499">
        <f t="shared" si="17"/>
        <v>23</v>
      </c>
      <c r="L499" s="8"/>
    </row>
    <row r="500" spans="1:12" x14ac:dyDescent="0.2">
      <c r="A500">
        <v>20250605</v>
      </c>
      <c r="B500" t="s">
        <v>10</v>
      </c>
      <c r="C500" t="s">
        <v>11</v>
      </c>
      <c r="D500">
        <v>9</v>
      </c>
      <c r="E500">
        <v>47.5555555555555</v>
      </c>
      <c r="F500">
        <v>0</v>
      </c>
      <c r="G500">
        <v>0</v>
      </c>
      <c r="H500" s="1">
        <f t="shared" si="16"/>
        <v>45813</v>
      </c>
      <c r="I500">
        <f t="shared" si="17"/>
        <v>23</v>
      </c>
      <c r="L500" s="8"/>
    </row>
    <row r="501" spans="1:12" x14ac:dyDescent="0.2">
      <c r="A501">
        <v>20250605</v>
      </c>
      <c r="B501" t="s">
        <v>10</v>
      </c>
      <c r="C501" t="s">
        <v>8</v>
      </c>
      <c r="D501">
        <v>1</v>
      </c>
      <c r="E501">
        <v>33</v>
      </c>
      <c r="F501">
        <v>0</v>
      </c>
      <c r="G501">
        <v>0</v>
      </c>
      <c r="H501" s="1">
        <f t="shared" si="16"/>
        <v>45813</v>
      </c>
      <c r="I501">
        <f t="shared" si="17"/>
        <v>23</v>
      </c>
      <c r="L501" s="8"/>
    </row>
    <row r="502" spans="1:12" x14ac:dyDescent="0.2">
      <c r="A502">
        <v>20250606</v>
      </c>
      <c r="B502" t="s">
        <v>19</v>
      </c>
      <c r="C502" t="s">
        <v>8</v>
      </c>
      <c r="D502">
        <v>1</v>
      </c>
      <c r="E502">
        <v>2</v>
      </c>
      <c r="F502">
        <v>0</v>
      </c>
      <c r="G502">
        <v>0</v>
      </c>
      <c r="H502" s="1">
        <f t="shared" si="16"/>
        <v>45814</v>
      </c>
      <c r="I502">
        <f t="shared" si="17"/>
        <v>23</v>
      </c>
      <c r="L502" s="8"/>
    </row>
    <row r="503" spans="1:12" x14ac:dyDescent="0.2">
      <c r="A503">
        <v>20250606</v>
      </c>
      <c r="B503" t="s">
        <v>12</v>
      </c>
      <c r="C503" t="s">
        <v>8</v>
      </c>
      <c r="D503">
        <v>4</v>
      </c>
      <c r="E503">
        <v>38.25</v>
      </c>
      <c r="F503">
        <v>0</v>
      </c>
      <c r="G503">
        <v>0</v>
      </c>
      <c r="H503" s="1">
        <f t="shared" si="16"/>
        <v>45814</v>
      </c>
      <c r="I503">
        <f t="shared" si="17"/>
        <v>23</v>
      </c>
      <c r="L503" s="8"/>
    </row>
    <row r="504" spans="1:12" x14ac:dyDescent="0.2">
      <c r="A504">
        <v>20250606</v>
      </c>
      <c r="B504" t="s">
        <v>7</v>
      </c>
      <c r="C504" t="s">
        <v>8</v>
      </c>
      <c r="D504">
        <v>17</v>
      </c>
      <c r="E504">
        <v>10.058823529411701</v>
      </c>
      <c r="F504">
        <v>0</v>
      </c>
      <c r="G504">
        <v>0</v>
      </c>
      <c r="H504" s="1">
        <f t="shared" si="16"/>
        <v>45814</v>
      </c>
      <c r="I504">
        <f t="shared" si="17"/>
        <v>23</v>
      </c>
      <c r="L504" s="8"/>
    </row>
    <row r="505" spans="1:12" x14ac:dyDescent="0.2">
      <c r="A505">
        <v>20250606</v>
      </c>
      <c r="B505" t="s">
        <v>23</v>
      </c>
      <c r="C505" t="s">
        <v>24</v>
      </c>
      <c r="D505">
        <v>1</v>
      </c>
      <c r="E505">
        <v>52</v>
      </c>
      <c r="F505">
        <v>0</v>
      </c>
      <c r="G505">
        <v>0</v>
      </c>
      <c r="H505" s="1">
        <f t="shared" si="16"/>
        <v>45814</v>
      </c>
      <c r="I505">
        <f t="shared" si="17"/>
        <v>23</v>
      </c>
      <c r="L505" s="8"/>
    </row>
    <row r="506" spans="1:12" x14ac:dyDescent="0.2">
      <c r="A506">
        <v>20250606</v>
      </c>
      <c r="B506" t="s">
        <v>9</v>
      </c>
      <c r="C506" t="s">
        <v>8</v>
      </c>
      <c r="D506">
        <v>22</v>
      </c>
      <c r="E506">
        <v>11.863636363636299</v>
      </c>
      <c r="F506">
        <v>0</v>
      </c>
      <c r="G506">
        <v>1</v>
      </c>
      <c r="H506" s="1">
        <f t="shared" si="16"/>
        <v>45814</v>
      </c>
      <c r="I506">
        <f t="shared" si="17"/>
        <v>23</v>
      </c>
      <c r="L506" s="8"/>
    </row>
    <row r="507" spans="1:12" x14ac:dyDescent="0.2">
      <c r="A507">
        <v>20250606</v>
      </c>
      <c r="B507" t="s">
        <v>10</v>
      </c>
      <c r="C507" t="s">
        <v>11</v>
      </c>
      <c r="D507">
        <v>7</v>
      </c>
      <c r="E507">
        <v>60.714285714285701</v>
      </c>
      <c r="F507">
        <v>0</v>
      </c>
      <c r="G507">
        <v>0</v>
      </c>
      <c r="H507" s="1">
        <f t="shared" si="16"/>
        <v>45814</v>
      </c>
      <c r="I507">
        <f t="shared" si="17"/>
        <v>23</v>
      </c>
      <c r="L507" s="8"/>
    </row>
    <row r="508" spans="1:12" x14ac:dyDescent="0.2">
      <c r="A508">
        <v>20250606</v>
      </c>
      <c r="B508" t="s">
        <v>10</v>
      </c>
      <c r="C508" t="s">
        <v>17</v>
      </c>
      <c r="D508">
        <v>2</v>
      </c>
      <c r="E508">
        <v>20</v>
      </c>
      <c r="F508">
        <v>0</v>
      </c>
      <c r="G508">
        <v>0</v>
      </c>
      <c r="H508" s="1">
        <f t="shared" si="16"/>
        <v>45814</v>
      </c>
      <c r="I508">
        <f t="shared" si="17"/>
        <v>23</v>
      </c>
      <c r="L508" s="8"/>
    </row>
    <row r="509" spans="1:12" x14ac:dyDescent="0.2">
      <c r="A509">
        <v>20250606</v>
      </c>
      <c r="B509" t="s">
        <v>10</v>
      </c>
      <c r="C509" t="s">
        <v>8</v>
      </c>
      <c r="D509">
        <v>1</v>
      </c>
      <c r="E509">
        <v>1</v>
      </c>
      <c r="F509">
        <v>0</v>
      </c>
      <c r="G509">
        <v>0</v>
      </c>
      <c r="H509" s="1">
        <f t="shared" si="16"/>
        <v>45814</v>
      </c>
      <c r="I509">
        <f t="shared" si="17"/>
        <v>23</v>
      </c>
      <c r="L509" s="8"/>
    </row>
    <row r="510" spans="1:12" x14ac:dyDescent="0.2">
      <c r="A510">
        <v>20250607</v>
      </c>
      <c r="B510" t="s">
        <v>19</v>
      </c>
      <c r="C510" t="s">
        <v>8</v>
      </c>
      <c r="D510">
        <v>1</v>
      </c>
      <c r="E510">
        <v>2</v>
      </c>
      <c r="F510">
        <v>0</v>
      </c>
      <c r="G510">
        <v>0</v>
      </c>
      <c r="H510" s="1">
        <f t="shared" si="16"/>
        <v>45815</v>
      </c>
      <c r="I510">
        <f t="shared" si="17"/>
        <v>23</v>
      </c>
      <c r="L510" s="8"/>
    </row>
    <row r="511" spans="1:12" x14ac:dyDescent="0.2">
      <c r="A511">
        <v>20250607</v>
      </c>
      <c r="B511" t="s">
        <v>29</v>
      </c>
      <c r="C511" t="s">
        <v>8</v>
      </c>
      <c r="D511">
        <v>1</v>
      </c>
      <c r="E511">
        <v>30</v>
      </c>
      <c r="F511">
        <v>0</v>
      </c>
      <c r="G511">
        <v>0</v>
      </c>
      <c r="H511" s="1">
        <f t="shared" si="16"/>
        <v>45815</v>
      </c>
      <c r="I511">
        <f t="shared" si="17"/>
        <v>23</v>
      </c>
      <c r="L511" s="8"/>
    </row>
    <row r="512" spans="1:12" x14ac:dyDescent="0.2">
      <c r="A512">
        <v>20250607</v>
      </c>
      <c r="B512" t="s">
        <v>16</v>
      </c>
      <c r="C512" t="s">
        <v>8</v>
      </c>
      <c r="D512">
        <v>4</v>
      </c>
      <c r="E512">
        <v>75</v>
      </c>
      <c r="F512">
        <v>0</v>
      </c>
      <c r="G512">
        <v>0</v>
      </c>
      <c r="H512" s="1">
        <f t="shared" si="16"/>
        <v>45815</v>
      </c>
      <c r="I512">
        <f t="shared" si="17"/>
        <v>23</v>
      </c>
      <c r="L512" s="8"/>
    </row>
    <row r="513" spans="1:12" x14ac:dyDescent="0.2">
      <c r="A513">
        <v>20250607</v>
      </c>
      <c r="B513" t="s">
        <v>7</v>
      </c>
      <c r="C513" t="s">
        <v>8</v>
      </c>
      <c r="D513">
        <v>8</v>
      </c>
      <c r="E513">
        <v>15</v>
      </c>
      <c r="F513">
        <v>0</v>
      </c>
      <c r="G513">
        <v>0</v>
      </c>
      <c r="H513" s="1">
        <f t="shared" si="16"/>
        <v>45815</v>
      </c>
      <c r="I513">
        <f t="shared" si="17"/>
        <v>23</v>
      </c>
      <c r="L513" s="8"/>
    </row>
    <row r="514" spans="1:12" x14ac:dyDescent="0.2">
      <c r="A514">
        <v>20250607</v>
      </c>
      <c r="B514" t="s">
        <v>23</v>
      </c>
      <c r="C514" t="s">
        <v>15</v>
      </c>
      <c r="D514">
        <v>1</v>
      </c>
      <c r="E514">
        <v>22</v>
      </c>
      <c r="F514">
        <v>0</v>
      </c>
      <c r="G514">
        <v>0</v>
      </c>
      <c r="H514" s="1">
        <f t="shared" ref="H514:H577" si="18">DATE(LEFT(A514,4),MID(A514,5,2),RIGHT(A514,2))</f>
        <v>45815</v>
      </c>
      <c r="I514">
        <f t="shared" ref="I514:I577" si="19">WEEKNUM(H514)</f>
        <v>23</v>
      </c>
      <c r="L514" s="8"/>
    </row>
    <row r="515" spans="1:12" x14ac:dyDescent="0.2">
      <c r="A515">
        <v>20250607</v>
      </c>
      <c r="B515" t="s">
        <v>14</v>
      </c>
      <c r="C515" t="s">
        <v>8</v>
      </c>
      <c r="D515">
        <v>1</v>
      </c>
      <c r="E515">
        <v>20</v>
      </c>
      <c r="F515">
        <v>0</v>
      </c>
      <c r="G515">
        <v>0</v>
      </c>
      <c r="H515" s="1">
        <f t="shared" si="18"/>
        <v>45815</v>
      </c>
      <c r="I515">
        <f t="shared" si="19"/>
        <v>23</v>
      </c>
      <c r="L515" s="8"/>
    </row>
    <row r="516" spans="1:12" x14ac:dyDescent="0.2">
      <c r="A516">
        <v>20250607</v>
      </c>
      <c r="B516" t="s">
        <v>9</v>
      </c>
      <c r="C516" t="s">
        <v>8</v>
      </c>
      <c r="D516">
        <v>15</v>
      </c>
      <c r="E516">
        <v>11.6666666666666</v>
      </c>
      <c r="F516">
        <v>0</v>
      </c>
      <c r="G516">
        <v>0</v>
      </c>
      <c r="H516" s="1">
        <f t="shared" si="18"/>
        <v>45815</v>
      </c>
      <c r="I516">
        <f t="shared" si="19"/>
        <v>23</v>
      </c>
      <c r="L516" s="8"/>
    </row>
    <row r="517" spans="1:12" x14ac:dyDescent="0.2">
      <c r="A517">
        <v>20250607</v>
      </c>
      <c r="B517" t="s">
        <v>10</v>
      </c>
      <c r="C517" t="s">
        <v>11</v>
      </c>
      <c r="D517">
        <v>11</v>
      </c>
      <c r="E517">
        <v>57.636363636363598</v>
      </c>
      <c r="F517">
        <v>0</v>
      </c>
      <c r="G517">
        <v>0</v>
      </c>
      <c r="H517" s="1">
        <f t="shared" si="18"/>
        <v>45815</v>
      </c>
      <c r="I517">
        <f t="shared" si="19"/>
        <v>23</v>
      </c>
      <c r="L517" s="8"/>
    </row>
    <row r="518" spans="1:12" x14ac:dyDescent="0.2">
      <c r="A518">
        <v>20250608</v>
      </c>
      <c r="B518" t="s">
        <v>12</v>
      </c>
      <c r="C518" t="s">
        <v>8</v>
      </c>
      <c r="D518">
        <v>6</v>
      </c>
      <c r="E518">
        <v>26.5</v>
      </c>
      <c r="F518">
        <v>0</v>
      </c>
      <c r="G518">
        <v>0</v>
      </c>
      <c r="H518" s="1">
        <f t="shared" si="18"/>
        <v>45816</v>
      </c>
      <c r="I518">
        <f t="shared" si="19"/>
        <v>24</v>
      </c>
      <c r="L518" s="8"/>
    </row>
    <row r="519" spans="1:12" x14ac:dyDescent="0.2">
      <c r="A519">
        <v>20250608</v>
      </c>
      <c r="B519" t="s">
        <v>7</v>
      </c>
      <c r="C519" t="s">
        <v>8</v>
      </c>
      <c r="D519">
        <v>25</v>
      </c>
      <c r="E519">
        <v>9.52</v>
      </c>
      <c r="F519">
        <v>0</v>
      </c>
      <c r="G519">
        <v>0</v>
      </c>
      <c r="H519" s="1">
        <f t="shared" si="18"/>
        <v>45816</v>
      </c>
      <c r="I519">
        <f t="shared" si="19"/>
        <v>24</v>
      </c>
      <c r="L519" s="8"/>
    </row>
    <row r="520" spans="1:12" x14ac:dyDescent="0.2">
      <c r="A520">
        <v>20250608</v>
      </c>
      <c r="B520" t="s">
        <v>9</v>
      </c>
      <c r="C520" t="s">
        <v>8</v>
      </c>
      <c r="D520">
        <v>22</v>
      </c>
      <c r="E520">
        <v>13.409090909090899</v>
      </c>
      <c r="F520">
        <v>0</v>
      </c>
      <c r="G520">
        <v>0</v>
      </c>
      <c r="H520" s="1">
        <f t="shared" si="18"/>
        <v>45816</v>
      </c>
      <c r="I520">
        <f t="shared" si="19"/>
        <v>24</v>
      </c>
      <c r="L520" s="8"/>
    </row>
    <row r="521" spans="1:12" x14ac:dyDescent="0.2">
      <c r="A521">
        <v>20250608</v>
      </c>
      <c r="B521" t="s">
        <v>10</v>
      </c>
      <c r="C521" t="s">
        <v>11</v>
      </c>
      <c r="D521">
        <v>7</v>
      </c>
      <c r="E521">
        <v>45.857142857142797</v>
      </c>
      <c r="F521">
        <v>0</v>
      </c>
      <c r="G521">
        <v>0</v>
      </c>
      <c r="H521" s="1">
        <f t="shared" si="18"/>
        <v>45816</v>
      </c>
      <c r="I521">
        <f t="shared" si="19"/>
        <v>24</v>
      </c>
      <c r="L521" s="8"/>
    </row>
    <row r="522" spans="1:12" x14ac:dyDescent="0.2">
      <c r="A522">
        <v>20250609</v>
      </c>
      <c r="B522" t="s">
        <v>12</v>
      </c>
      <c r="C522" t="s">
        <v>8</v>
      </c>
      <c r="D522">
        <v>4</v>
      </c>
      <c r="E522">
        <v>30.5</v>
      </c>
      <c r="F522">
        <v>0</v>
      </c>
      <c r="G522">
        <v>0</v>
      </c>
      <c r="H522" s="1">
        <f t="shared" si="18"/>
        <v>45817</v>
      </c>
      <c r="I522">
        <f t="shared" si="19"/>
        <v>24</v>
      </c>
      <c r="L522" s="8"/>
    </row>
    <row r="523" spans="1:12" x14ac:dyDescent="0.2">
      <c r="A523">
        <v>20250609</v>
      </c>
      <c r="B523" t="s">
        <v>7</v>
      </c>
      <c r="C523" t="s">
        <v>8</v>
      </c>
      <c r="D523">
        <v>10</v>
      </c>
      <c r="E523">
        <v>10.1</v>
      </c>
      <c r="F523">
        <v>0</v>
      </c>
      <c r="G523">
        <v>0</v>
      </c>
      <c r="H523" s="1">
        <f t="shared" si="18"/>
        <v>45817</v>
      </c>
      <c r="I523">
        <f t="shared" si="19"/>
        <v>24</v>
      </c>
      <c r="L523" s="8"/>
    </row>
    <row r="524" spans="1:12" x14ac:dyDescent="0.2">
      <c r="A524">
        <v>20250609</v>
      </c>
      <c r="B524" t="s">
        <v>7</v>
      </c>
      <c r="C524" t="s">
        <v>13</v>
      </c>
      <c r="D524">
        <v>1</v>
      </c>
      <c r="E524">
        <v>1</v>
      </c>
      <c r="F524">
        <v>0</v>
      </c>
      <c r="G524">
        <v>0</v>
      </c>
      <c r="H524" s="1">
        <f t="shared" si="18"/>
        <v>45817</v>
      </c>
      <c r="I524">
        <f t="shared" si="19"/>
        <v>24</v>
      </c>
      <c r="L524" s="8"/>
    </row>
    <row r="525" spans="1:12" x14ac:dyDescent="0.2">
      <c r="A525">
        <v>20250609</v>
      </c>
      <c r="B525" t="s">
        <v>9</v>
      </c>
      <c r="C525" t="s">
        <v>8</v>
      </c>
      <c r="D525">
        <v>13</v>
      </c>
      <c r="E525">
        <v>10.1538461538461</v>
      </c>
      <c r="F525">
        <v>0</v>
      </c>
      <c r="G525">
        <v>0</v>
      </c>
      <c r="H525" s="1">
        <f t="shared" si="18"/>
        <v>45817</v>
      </c>
      <c r="I525">
        <f t="shared" si="19"/>
        <v>24</v>
      </c>
      <c r="L525" s="8"/>
    </row>
    <row r="526" spans="1:12" x14ac:dyDescent="0.2">
      <c r="A526">
        <v>20250609</v>
      </c>
      <c r="B526" t="s">
        <v>10</v>
      </c>
      <c r="C526" t="s">
        <v>11</v>
      </c>
      <c r="D526">
        <v>6</v>
      </c>
      <c r="E526">
        <v>83.3333333333333</v>
      </c>
      <c r="F526">
        <v>0</v>
      </c>
      <c r="G526">
        <v>0</v>
      </c>
      <c r="H526" s="1">
        <f t="shared" si="18"/>
        <v>45817</v>
      </c>
      <c r="I526">
        <f t="shared" si="19"/>
        <v>24</v>
      </c>
      <c r="L526" s="8"/>
    </row>
    <row r="527" spans="1:12" x14ac:dyDescent="0.2">
      <c r="A527">
        <v>20250609</v>
      </c>
      <c r="B527" t="s">
        <v>10</v>
      </c>
      <c r="C527" t="s">
        <v>17</v>
      </c>
      <c r="D527">
        <v>1</v>
      </c>
      <c r="E527">
        <v>74</v>
      </c>
      <c r="F527">
        <v>0</v>
      </c>
      <c r="G527">
        <v>0</v>
      </c>
      <c r="H527" s="1">
        <f t="shared" si="18"/>
        <v>45817</v>
      </c>
      <c r="I527">
        <f t="shared" si="19"/>
        <v>24</v>
      </c>
      <c r="L527" s="8"/>
    </row>
    <row r="528" spans="1:12" x14ac:dyDescent="0.2">
      <c r="A528">
        <v>20250610</v>
      </c>
      <c r="B528" t="s">
        <v>12</v>
      </c>
      <c r="C528" t="s">
        <v>8</v>
      </c>
      <c r="D528">
        <v>1</v>
      </c>
      <c r="E528">
        <v>30</v>
      </c>
      <c r="F528">
        <v>0</v>
      </c>
      <c r="G528">
        <v>0</v>
      </c>
      <c r="H528" s="1">
        <f t="shared" si="18"/>
        <v>45818</v>
      </c>
      <c r="I528">
        <f t="shared" si="19"/>
        <v>24</v>
      </c>
      <c r="L528" s="8"/>
    </row>
    <row r="529" spans="1:12" x14ac:dyDescent="0.2">
      <c r="A529">
        <v>20250610</v>
      </c>
      <c r="B529" t="s">
        <v>7</v>
      </c>
      <c r="C529" t="s">
        <v>8</v>
      </c>
      <c r="D529">
        <v>25</v>
      </c>
      <c r="E529">
        <v>13.24</v>
      </c>
      <c r="F529">
        <v>0</v>
      </c>
      <c r="G529">
        <v>2</v>
      </c>
      <c r="H529" s="1">
        <f t="shared" si="18"/>
        <v>45818</v>
      </c>
      <c r="I529">
        <f t="shared" si="19"/>
        <v>24</v>
      </c>
      <c r="L529" s="8"/>
    </row>
    <row r="530" spans="1:12" x14ac:dyDescent="0.2">
      <c r="A530">
        <v>20250610</v>
      </c>
      <c r="B530" t="s">
        <v>7</v>
      </c>
      <c r="C530" t="s">
        <v>24</v>
      </c>
      <c r="D530">
        <v>2</v>
      </c>
      <c r="E530">
        <v>17</v>
      </c>
      <c r="F530">
        <v>0</v>
      </c>
      <c r="G530">
        <v>0</v>
      </c>
      <c r="H530" s="1">
        <f t="shared" si="18"/>
        <v>45818</v>
      </c>
      <c r="I530">
        <f t="shared" si="19"/>
        <v>24</v>
      </c>
      <c r="L530" s="8"/>
    </row>
    <row r="531" spans="1:12" x14ac:dyDescent="0.2">
      <c r="A531">
        <v>20250610</v>
      </c>
      <c r="B531" t="s">
        <v>14</v>
      </c>
      <c r="C531" t="s">
        <v>8</v>
      </c>
      <c r="D531">
        <v>2</v>
      </c>
      <c r="E531">
        <v>20</v>
      </c>
      <c r="F531">
        <v>0</v>
      </c>
      <c r="G531">
        <v>0</v>
      </c>
      <c r="H531" s="1">
        <f t="shared" si="18"/>
        <v>45818</v>
      </c>
      <c r="I531">
        <f t="shared" si="19"/>
        <v>24</v>
      </c>
      <c r="L531" s="8"/>
    </row>
    <row r="532" spans="1:12" x14ac:dyDescent="0.2">
      <c r="A532">
        <v>20250610</v>
      </c>
      <c r="B532" t="s">
        <v>9</v>
      </c>
      <c r="C532" t="s">
        <v>8</v>
      </c>
      <c r="D532">
        <v>11</v>
      </c>
      <c r="E532">
        <v>16.181818181818102</v>
      </c>
      <c r="F532">
        <v>0</v>
      </c>
      <c r="G532">
        <v>0</v>
      </c>
      <c r="H532" s="1">
        <f t="shared" si="18"/>
        <v>45818</v>
      </c>
      <c r="I532">
        <f t="shared" si="19"/>
        <v>24</v>
      </c>
      <c r="L532" s="8"/>
    </row>
    <row r="533" spans="1:12" x14ac:dyDescent="0.2">
      <c r="A533">
        <v>20250610</v>
      </c>
      <c r="B533" t="s">
        <v>9</v>
      </c>
      <c r="C533" t="s">
        <v>15</v>
      </c>
      <c r="D533">
        <v>3</v>
      </c>
      <c r="E533">
        <v>1</v>
      </c>
      <c r="F533">
        <v>0</v>
      </c>
      <c r="G533">
        <v>0</v>
      </c>
      <c r="H533" s="1">
        <f t="shared" si="18"/>
        <v>45818</v>
      </c>
      <c r="I533">
        <f t="shared" si="19"/>
        <v>24</v>
      </c>
      <c r="L533" s="8"/>
    </row>
    <row r="534" spans="1:12" x14ac:dyDescent="0.2">
      <c r="A534">
        <v>20250610</v>
      </c>
      <c r="B534" t="s">
        <v>10</v>
      </c>
      <c r="C534" t="s">
        <v>11</v>
      </c>
      <c r="D534">
        <v>3</v>
      </c>
      <c r="E534">
        <v>76.6666666666666</v>
      </c>
      <c r="F534">
        <v>0</v>
      </c>
      <c r="G534">
        <v>0</v>
      </c>
      <c r="H534" s="1">
        <f t="shared" si="18"/>
        <v>45818</v>
      </c>
      <c r="I534">
        <f t="shared" si="19"/>
        <v>24</v>
      </c>
      <c r="L534" s="8"/>
    </row>
    <row r="535" spans="1:12" x14ac:dyDescent="0.2">
      <c r="A535">
        <v>20250610</v>
      </c>
      <c r="B535" t="s">
        <v>10</v>
      </c>
      <c r="C535" t="s">
        <v>20</v>
      </c>
      <c r="D535">
        <v>1</v>
      </c>
      <c r="E535">
        <v>28</v>
      </c>
      <c r="F535">
        <v>0</v>
      </c>
      <c r="G535">
        <v>0</v>
      </c>
      <c r="H535" s="1">
        <f t="shared" si="18"/>
        <v>45818</v>
      </c>
      <c r="I535">
        <f t="shared" si="19"/>
        <v>24</v>
      </c>
      <c r="L535" s="8"/>
    </row>
    <row r="536" spans="1:12" x14ac:dyDescent="0.2">
      <c r="A536">
        <v>20250611</v>
      </c>
      <c r="B536" t="s">
        <v>19</v>
      </c>
      <c r="C536" t="s">
        <v>8</v>
      </c>
      <c r="D536">
        <v>1</v>
      </c>
      <c r="E536">
        <v>45</v>
      </c>
      <c r="F536">
        <v>0</v>
      </c>
      <c r="G536">
        <v>0</v>
      </c>
      <c r="H536" s="1">
        <f t="shared" si="18"/>
        <v>45819</v>
      </c>
      <c r="I536">
        <f t="shared" si="19"/>
        <v>24</v>
      </c>
      <c r="L536" s="8"/>
    </row>
    <row r="537" spans="1:12" x14ac:dyDescent="0.2">
      <c r="A537">
        <v>20250611</v>
      </c>
      <c r="B537" t="s">
        <v>12</v>
      </c>
      <c r="C537" t="s">
        <v>8</v>
      </c>
      <c r="D537">
        <v>2</v>
      </c>
      <c r="E537">
        <v>51</v>
      </c>
      <c r="F537">
        <v>0</v>
      </c>
      <c r="G537">
        <v>0</v>
      </c>
      <c r="H537" s="1">
        <f t="shared" si="18"/>
        <v>45819</v>
      </c>
      <c r="I537">
        <f t="shared" si="19"/>
        <v>24</v>
      </c>
      <c r="L537" s="8"/>
    </row>
    <row r="538" spans="1:12" x14ac:dyDescent="0.2">
      <c r="A538">
        <v>20250611</v>
      </c>
      <c r="B538" t="s">
        <v>7</v>
      </c>
      <c r="C538" t="s">
        <v>8</v>
      </c>
      <c r="D538">
        <v>4</v>
      </c>
      <c r="E538">
        <v>9</v>
      </c>
      <c r="F538">
        <v>0</v>
      </c>
      <c r="G538">
        <v>0</v>
      </c>
      <c r="H538" s="1">
        <f t="shared" si="18"/>
        <v>45819</v>
      </c>
      <c r="I538">
        <f t="shared" si="19"/>
        <v>24</v>
      </c>
      <c r="L538" s="8"/>
    </row>
    <row r="539" spans="1:12" x14ac:dyDescent="0.2">
      <c r="A539">
        <v>20250611</v>
      </c>
      <c r="B539" t="s">
        <v>9</v>
      </c>
      <c r="C539" t="s">
        <v>8</v>
      </c>
      <c r="D539">
        <v>11</v>
      </c>
      <c r="E539">
        <v>19.4545454545454</v>
      </c>
      <c r="F539">
        <v>0</v>
      </c>
      <c r="G539">
        <v>0</v>
      </c>
      <c r="H539" s="1">
        <f t="shared" si="18"/>
        <v>45819</v>
      </c>
      <c r="I539">
        <f t="shared" si="19"/>
        <v>24</v>
      </c>
      <c r="L539" s="8"/>
    </row>
    <row r="540" spans="1:12" x14ac:dyDescent="0.2">
      <c r="A540">
        <v>20250611</v>
      </c>
      <c r="B540" t="s">
        <v>10</v>
      </c>
      <c r="C540" t="s">
        <v>11</v>
      </c>
      <c r="D540">
        <v>3</v>
      </c>
      <c r="E540">
        <v>74</v>
      </c>
      <c r="F540">
        <v>0</v>
      </c>
      <c r="G540">
        <v>0</v>
      </c>
      <c r="H540" s="1">
        <f t="shared" si="18"/>
        <v>45819</v>
      </c>
      <c r="I540">
        <f t="shared" si="19"/>
        <v>24</v>
      </c>
      <c r="L540" s="8"/>
    </row>
    <row r="541" spans="1:12" x14ac:dyDescent="0.2">
      <c r="A541">
        <v>20250611</v>
      </c>
      <c r="B541" t="s">
        <v>10</v>
      </c>
      <c r="C541" t="s">
        <v>8</v>
      </c>
      <c r="D541">
        <v>2</v>
      </c>
      <c r="E541">
        <v>17.5</v>
      </c>
      <c r="F541">
        <v>0</v>
      </c>
      <c r="G541">
        <v>0</v>
      </c>
      <c r="H541" s="1">
        <f t="shared" si="18"/>
        <v>45819</v>
      </c>
      <c r="I541">
        <f t="shared" si="19"/>
        <v>24</v>
      </c>
      <c r="L541" s="8"/>
    </row>
    <row r="542" spans="1:12" x14ac:dyDescent="0.2">
      <c r="A542">
        <v>20250612</v>
      </c>
      <c r="B542" t="s">
        <v>12</v>
      </c>
      <c r="C542" t="s">
        <v>8</v>
      </c>
      <c r="D542">
        <v>3</v>
      </c>
      <c r="E542">
        <v>9.6666666666666607</v>
      </c>
      <c r="F542">
        <v>0</v>
      </c>
      <c r="G542">
        <v>0</v>
      </c>
      <c r="H542" s="1">
        <f t="shared" si="18"/>
        <v>45820</v>
      </c>
      <c r="I542">
        <f t="shared" si="19"/>
        <v>24</v>
      </c>
      <c r="L542" s="8"/>
    </row>
    <row r="543" spans="1:12" x14ac:dyDescent="0.2">
      <c r="A543">
        <v>20250612</v>
      </c>
      <c r="B543" t="s">
        <v>16</v>
      </c>
      <c r="C543" t="s">
        <v>13</v>
      </c>
      <c r="D543">
        <v>1</v>
      </c>
      <c r="E543">
        <v>1</v>
      </c>
      <c r="F543">
        <v>0</v>
      </c>
      <c r="G543">
        <v>0</v>
      </c>
      <c r="H543" s="1">
        <f t="shared" si="18"/>
        <v>45820</v>
      </c>
      <c r="I543">
        <f t="shared" si="19"/>
        <v>24</v>
      </c>
      <c r="L543" s="8"/>
    </row>
    <row r="544" spans="1:12" x14ac:dyDescent="0.2">
      <c r="A544">
        <v>20250612</v>
      </c>
      <c r="B544" t="s">
        <v>16</v>
      </c>
      <c r="C544" t="s">
        <v>8</v>
      </c>
      <c r="D544">
        <v>1</v>
      </c>
      <c r="E544">
        <v>36</v>
      </c>
      <c r="F544">
        <v>0</v>
      </c>
      <c r="G544">
        <v>0</v>
      </c>
      <c r="H544" s="1">
        <f t="shared" si="18"/>
        <v>45820</v>
      </c>
      <c r="I544">
        <f t="shared" si="19"/>
        <v>24</v>
      </c>
      <c r="L544" s="8"/>
    </row>
    <row r="545" spans="1:12" x14ac:dyDescent="0.2">
      <c r="A545">
        <v>20250612</v>
      </c>
      <c r="B545" t="s">
        <v>7</v>
      </c>
      <c r="C545" t="s">
        <v>8</v>
      </c>
      <c r="D545">
        <v>12</v>
      </c>
      <c r="E545">
        <v>7.5833333333333304</v>
      </c>
      <c r="F545">
        <v>0</v>
      </c>
      <c r="G545">
        <v>2</v>
      </c>
      <c r="H545" s="1">
        <f t="shared" si="18"/>
        <v>45820</v>
      </c>
      <c r="I545">
        <f t="shared" si="19"/>
        <v>24</v>
      </c>
      <c r="L545" s="8"/>
    </row>
    <row r="546" spans="1:12" x14ac:dyDescent="0.2">
      <c r="A546">
        <v>20250612</v>
      </c>
      <c r="B546" t="s">
        <v>23</v>
      </c>
      <c r="C546" t="s">
        <v>8</v>
      </c>
      <c r="D546">
        <v>1</v>
      </c>
      <c r="E546">
        <v>28</v>
      </c>
      <c r="F546">
        <v>0</v>
      </c>
      <c r="G546">
        <v>0</v>
      </c>
      <c r="H546" s="1">
        <f t="shared" si="18"/>
        <v>45820</v>
      </c>
      <c r="I546">
        <f t="shared" si="19"/>
        <v>24</v>
      </c>
      <c r="L546" s="8"/>
    </row>
    <row r="547" spans="1:12" x14ac:dyDescent="0.2">
      <c r="A547">
        <v>20250612</v>
      </c>
      <c r="B547" t="s">
        <v>9</v>
      </c>
      <c r="C547" t="s">
        <v>8</v>
      </c>
      <c r="D547">
        <v>17</v>
      </c>
      <c r="E547">
        <v>11.176470588235199</v>
      </c>
      <c r="F547">
        <v>0</v>
      </c>
      <c r="G547">
        <v>0</v>
      </c>
      <c r="H547" s="1">
        <f t="shared" si="18"/>
        <v>45820</v>
      </c>
      <c r="I547">
        <f t="shared" si="19"/>
        <v>24</v>
      </c>
      <c r="L547" s="8"/>
    </row>
    <row r="548" spans="1:12" x14ac:dyDescent="0.2">
      <c r="A548">
        <v>20250612</v>
      </c>
      <c r="B548" t="s">
        <v>9</v>
      </c>
      <c r="C548" t="s">
        <v>13</v>
      </c>
      <c r="D548">
        <v>4</v>
      </c>
      <c r="E548">
        <v>1</v>
      </c>
      <c r="F548">
        <v>0</v>
      </c>
      <c r="G548">
        <v>0</v>
      </c>
      <c r="H548" s="1">
        <f t="shared" si="18"/>
        <v>45820</v>
      </c>
      <c r="I548">
        <f t="shared" si="19"/>
        <v>24</v>
      </c>
      <c r="L548" s="8"/>
    </row>
    <row r="549" spans="1:12" x14ac:dyDescent="0.2">
      <c r="A549">
        <v>20250612</v>
      </c>
      <c r="B549" t="s">
        <v>9</v>
      </c>
      <c r="C549" t="s">
        <v>15</v>
      </c>
      <c r="D549">
        <v>1</v>
      </c>
      <c r="E549">
        <v>32</v>
      </c>
      <c r="F549">
        <v>0</v>
      </c>
      <c r="G549">
        <v>0</v>
      </c>
      <c r="H549" s="1">
        <f t="shared" si="18"/>
        <v>45820</v>
      </c>
      <c r="I549">
        <f t="shared" si="19"/>
        <v>24</v>
      </c>
      <c r="L549" s="8"/>
    </row>
    <row r="550" spans="1:12" x14ac:dyDescent="0.2">
      <c r="A550">
        <v>20250612</v>
      </c>
      <c r="B550" t="s">
        <v>10</v>
      </c>
      <c r="C550" t="s">
        <v>11</v>
      </c>
      <c r="D550">
        <v>2</v>
      </c>
      <c r="E550">
        <v>85</v>
      </c>
      <c r="F550">
        <v>0</v>
      </c>
      <c r="G550">
        <v>1</v>
      </c>
      <c r="H550" s="1">
        <f t="shared" si="18"/>
        <v>45820</v>
      </c>
      <c r="I550">
        <f t="shared" si="19"/>
        <v>24</v>
      </c>
      <c r="L550" s="8"/>
    </row>
    <row r="551" spans="1:12" x14ac:dyDescent="0.2">
      <c r="A551">
        <v>20250612</v>
      </c>
      <c r="B551" t="s">
        <v>10</v>
      </c>
      <c r="C551" t="s">
        <v>24</v>
      </c>
      <c r="D551">
        <v>1</v>
      </c>
      <c r="E551">
        <v>7</v>
      </c>
      <c r="F551">
        <v>0</v>
      </c>
      <c r="G551">
        <v>2</v>
      </c>
      <c r="H551" s="1">
        <f t="shared" si="18"/>
        <v>45820</v>
      </c>
      <c r="I551">
        <f t="shared" si="19"/>
        <v>24</v>
      </c>
      <c r="L551" s="8"/>
    </row>
    <row r="552" spans="1:12" x14ac:dyDescent="0.2">
      <c r="A552">
        <v>20250613</v>
      </c>
      <c r="B552" t="s">
        <v>12</v>
      </c>
      <c r="C552" t="s">
        <v>8</v>
      </c>
      <c r="D552">
        <v>5</v>
      </c>
      <c r="E552">
        <v>13</v>
      </c>
      <c r="F552">
        <v>0</v>
      </c>
      <c r="G552">
        <v>0</v>
      </c>
      <c r="H552" s="1">
        <f t="shared" si="18"/>
        <v>45821</v>
      </c>
      <c r="I552">
        <f t="shared" si="19"/>
        <v>24</v>
      </c>
      <c r="L552" s="8"/>
    </row>
    <row r="553" spans="1:12" x14ac:dyDescent="0.2">
      <c r="A553">
        <v>20250613</v>
      </c>
      <c r="B553" t="s">
        <v>7</v>
      </c>
      <c r="C553" t="s">
        <v>8</v>
      </c>
      <c r="D553">
        <v>6</v>
      </c>
      <c r="E553">
        <v>12.3333333333333</v>
      </c>
      <c r="F553">
        <v>0</v>
      </c>
      <c r="G553">
        <v>0</v>
      </c>
      <c r="H553" s="1">
        <f t="shared" si="18"/>
        <v>45821</v>
      </c>
      <c r="I553">
        <f t="shared" si="19"/>
        <v>24</v>
      </c>
      <c r="L553" s="8"/>
    </row>
    <row r="554" spans="1:12" x14ac:dyDescent="0.2">
      <c r="A554">
        <v>20250613</v>
      </c>
      <c r="B554" t="s">
        <v>23</v>
      </c>
      <c r="C554" t="s">
        <v>8</v>
      </c>
      <c r="D554">
        <v>3</v>
      </c>
      <c r="E554">
        <v>22</v>
      </c>
      <c r="F554">
        <v>0</v>
      </c>
      <c r="G554">
        <v>0</v>
      </c>
      <c r="H554" s="1">
        <f t="shared" si="18"/>
        <v>45821</v>
      </c>
      <c r="I554">
        <f t="shared" si="19"/>
        <v>24</v>
      </c>
      <c r="L554" s="8"/>
    </row>
    <row r="555" spans="1:12" x14ac:dyDescent="0.2">
      <c r="A555">
        <v>20250613</v>
      </c>
      <c r="B555" t="s">
        <v>14</v>
      </c>
      <c r="C555" t="s">
        <v>8</v>
      </c>
      <c r="D555">
        <v>1</v>
      </c>
      <c r="E555">
        <v>18</v>
      </c>
      <c r="F555">
        <v>0</v>
      </c>
      <c r="G555">
        <v>0</v>
      </c>
      <c r="H555" s="1">
        <f t="shared" si="18"/>
        <v>45821</v>
      </c>
      <c r="I555">
        <f t="shared" si="19"/>
        <v>24</v>
      </c>
      <c r="L555" s="8"/>
    </row>
    <row r="556" spans="1:12" x14ac:dyDescent="0.2">
      <c r="A556">
        <v>20250613</v>
      </c>
      <c r="B556" t="s">
        <v>9</v>
      </c>
      <c r="C556" t="s">
        <v>8</v>
      </c>
      <c r="D556">
        <v>11</v>
      </c>
      <c r="E556">
        <v>31.636363636363601</v>
      </c>
      <c r="F556">
        <v>0</v>
      </c>
      <c r="G556">
        <v>0</v>
      </c>
      <c r="H556" s="1">
        <f t="shared" si="18"/>
        <v>45821</v>
      </c>
      <c r="I556">
        <f t="shared" si="19"/>
        <v>24</v>
      </c>
      <c r="L556" s="8"/>
    </row>
    <row r="557" spans="1:12" x14ac:dyDescent="0.2">
      <c r="A557">
        <v>20250613</v>
      </c>
      <c r="B557" t="s">
        <v>9</v>
      </c>
      <c r="C557" t="s">
        <v>15</v>
      </c>
      <c r="D557">
        <v>3</v>
      </c>
      <c r="E557">
        <v>41</v>
      </c>
      <c r="F557">
        <v>0</v>
      </c>
      <c r="G557">
        <v>0</v>
      </c>
      <c r="H557" s="1">
        <f t="shared" si="18"/>
        <v>45821</v>
      </c>
      <c r="I557">
        <f t="shared" si="19"/>
        <v>24</v>
      </c>
      <c r="L557" s="8"/>
    </row>
    <row r="558" spans="1:12" x14ac:dyDescent="0.2">
      <c r="A558">
        <v>20250613</v>
      </c>
      <c r="B558" t="s">
        <v>10</v>
      </c>
      <c r="C558" t="s">
        <v>11</v>
      </c>
      <c r="D558">
        <v>4</v>
      </c>
      <c r="E558">
        <v>79.5</v>
      </c>
      <c r="F558">
        <v>0</v>
      </c>
      <c r="G558">
        <v>0</v>
      </c>
      <c r="H558" s="1">
        <f t="shared" si="18"/>
        <v>45821</v>
      </c>
      <c r="I558">
        <f t="shared" si="19"/>
        <v>24</v>
      </c>
      <c r="L558" s="8"/>
    </row>
    <row r="559" spans="1:12" x14ac:dyDescent="0.2">
      <c r="A559">
        <v>20250613</v>
      </c>
      <c r="B559" t="s">
        <v>10</v>
      </c>
      <c r="C559" t="s">
        <v>8</v>
      </c>
      <c r="D559">
        <v>1</v>
      </c>
      <c r="E559">
        <v>34</v>
      </c>
      <c r="F559">
        <v>0</v>
      </c>
      <c r="G559">
        <v>0</v>
      </c>
      <c r="H559" s="1">
        <f t="shared" si="18"/>
        <v>45821</v>
      </c>
      <c r="I559">
        <f t="shared" si="19"/>
        <v>24</v>
      </c>
      <c r="L559" s="8"/>
    </row>
    <row r="560" spans="1:12" x14ac:dyDescent="0.2">
      <c r="A560">
        <v>20250614</v>
      </c>
      <c r="B560" t="s">
        <v>12</v>
      </c>
      <c r="C560" t="s">
        <v>8</v>
      </c>
      <c r="D560">
        <v>5</v>
      </c>
      <c r="E560">
        <v>26.4</v>
      </c>
      <c r="F560">
        <v>0</v>
      </c>
      <c r="G560">
        <v>0</v>
      </c>
      <c r="H560" s="1">
        <f t="shared" si="18"/>
        <v>45822</v>
      </c>
      <c r="I560">
        <f t="shared" si="19"/>
        <v>24</v>
      </c>
      <c r="L560" s="8"/>
    </row>
    <row r="561" spans="1:12" x14ac:dyDescent="0.2">
      <c r="A561">
        <v>20250614</v>
      </c>
      <c r="B561" t="s">
        <v>16</v>
      </c>
      <c r="C561" t="s">
        <v>8</v>
      </c>
      <c r="D561">
        <v>3</v>
      </c>
      <c r="E561">
        <v>18</v>
      </c>
      <c r="F561">
        <v>0</v>
      </c>
      <c r="G561">
        <v>0</v>
      </c>
      <c r="H561" s="1">
        <f t="shared" si="18"/>
        <v>45822</v>
      </c>
      <c r="I561">
        <f t="shared" si="19"/>
        <v>24</v>
      </c>
      <c r="L561" s="8"/>
    </row>
    <row r="562" spans="1:12" x14ac:dyDescent="0.2">
      <c r="A562">
        <v>20250614</v>
      </c>
      <c r="B562" t="s">
        <v>7</v>
      </c>
      <c r="C562" t="s">
        <v>8</v>
      </c>
      <c r="D562">
        <v>11</v>
      </c>
      <c r="E562">
        <v>8.7272727272727195</v>
      </c>
      <c r="F562">
        <v>0</v>
      </c>
      <c r="G562">
        <v>0</v>
      </c>
      <c r="H562" s="1">
        <f t="shared" si="18"/>
        <v>45822</v>
      </c>
      <c r="I562">
        <f t="shared" si="19"/>
        <v>24</v>
      </c>
      <c r="L562" s="8"/>
    </row>
    <row r="563" spans="1:12" x14ac:dyDescent="0.2">
      <c r="A563">
        <v>20250614</v>
      </c>
      <c r="B563" t="s">
        <v>23</v>
      </c>
      <c r="C563" t="s">
        <v>13</v>
      </c>
      <c r="D563">
        <v>1</v>
      </c>
      <c r="E563">
        <v>1</v>
      </c>
      <c r="F563">
        <v>0</v>
      </c>
      <c r="G563">
        <v>0</v>
      </c>
      <c r="H563" s="1">
        <f t="shared" si="18"/>
        <v>45822</v>
      </c>
      <c r="I563">
        <f t="shared" si="19"/>
        <v>24</v>
      </c>
      <c r="L563" s="8"/>
    </row>
    <row r="564" spans="1:12" x14ac:dyDescent="0.2">
      <c r="A564">
        <v>20250614</v>
      </c>
      <c r="B564" t="s">
        <v>9</v>
      </c>
      <c r="C564" t="s">
        <v>8</v>
      </c>
      <c r="D564">
        <v>13</v>
      </c>
      <c r="E564">
        <v>13.076923076923</v>
      </c>
      <c r="F564">
        <v>0</v>
      </c>
      <c r="G564">
        <v>0</v>
      </c>
      <c r="H564" s="1">
        <f t="shared" si="18"/>
        <v>45822</v>
      </c>
      <c r="I564">
        <f t="shared" si="19"/>
        <v>24</v>
      </c>
      <c r="L564" s="8"/>
    </row>
    <row r="565" spans="1:12" x14ac:dyDescent="0.2">
      <c r="A565">
        <v>20250614</v>
      </c>
      <c r="B565" t="s">
        <v>10</v>
      </c>
      <c r="C565" t="s">
        <v>11</v>
      </c>
      <c r="D565">
        <v>3</v>
      </c>
      <c r="E565">
        <v>75</v>
      </c>
      <c r="F565">
        <v>0</v>
      </c>
      <c r="G565">
        <v>0</v>
      </c>
      <c r="H565" s="1">
        <f t="shared" si="18"/>
        <v>45822</v>
      </c>
      <c r="I565">
        <f t="shared" si="19"/>
        <v>24</v>
      </c>
      <c r="L565" s="8"/>
    </row>
    <row r="566" spans="1:12" x14ac:dyDescent="0.2">
      <c r="A566">
        <v>20250614</v>
      </c>
      <c r="B566" t="s">
        <v>10</v>
      </c>
      <c r="C566" t="s">
        <v>8</v>
      </c>
      <c r="D566">
        <v>3</v>
      </c>
      <c r="E566">
        <v>33.3333333333333</v>
      </c>
      <c r="F566">
        <v>0</v>
      </c>
      <c r="G566">
        <v>0</v>
      </c>
      <c r="H566" s="1">
        <f t="shared" si="18"/>
        <v>45822</v>
      </c>
      <c r="I566">
        <f t="shared" si="19"/>
        <v>24</v>
      </c>
      <c r="L566" s="8"/>
    </row>
    <row r="567" spans="1:12" x14ac:dyDescent="0.2">
      <c r="A567">
        <v>20250615</v>
      </c>
      <c r="B567" t="s">
        <v>12</v>
      </c>
      <c r="C567" t="s">
        <v>8</v>
      </c>
      <c r="D567">
        <v>10</v>
      </c>
      <c r="E567">
        <v>21.5</v>
      </c>
      <c r="F567">
        <v>0</v>
      </c>
      <c r="G567">
        <v>0</v>
      </c>
      <c r="H567" s="1">
        <f t="shared" si="18"/>
        <v>45823</v>
      </c>
      <c r="I567">
        <f t="shared" si="19"/>
        <v>25</v>
      </c>
      <c r="L567" s="8"/>
    </row>
    <row r="568" spans="1:12" x14ac:dyDescent="0.2">
      <c r="A568">
        <v>20250615</v>
      </c>
      <c r="B568" t="s">
        <v>7</v>
      </c>
      <c r="C568" t="s">
        <v>8</v>
      </c>
      <c r="D568">
        <v>6</v>
      </c>
      <c r="E568">
        <v>6.5</v>
      </c>
      <c r="F568">
        <v>0</v>
      </c>
      <c r="G568">
        <v>0</v>
      </c>
      <c r="H568" s="1">
        <f t="shared" si="18"/>
        <v>45823</v>
      </c>
      <c r="I568">
        <f t="shared" si="19"/>
        <v>25</v>
      </c>
      <c r="L568" s="8"/>
    </row>
    <row r="569" spans="1:12" x14ac:dyDescent="0.2">
      <c r="A569">
        <v>20250615</v>
      </c>
      <c r="B569" t="s">
        <v>14</v>
      </c>
      <c r="C569" t="s">
        <v>8</v>
      </c>
      <c r="D569">
        <v>4</v>
      </c>
      <c r="E569">
        <v>20</v>
      </c>
      <c r="F569">
        <v>0</v>
      </c>
      <c r="G569">
        <v>0</v>
      </c>
      <c r="H569" s="1">
        <f t="shared" si="18"/>
        <v>45823</v>
      </c>
      <c r="I569">
        <f t="shared" si="19"/>
        <v>25</v>
      </c>
      <c r="L569" s="8"/>
    </row>
    <row r="570" spans="1:12" x14ac:dyDescent="0.2">
      <c r="A570">
        <v>20250615</v>
      </c>
      <c r="B570" t="s">
        <v>9</v>
      </c>
      <c r="C570" t="s">
        <v>8</v>
      </c>
      <c r="D570">
        <v>19</v>
      </c>
      <c r="E570">
        <v>12.5263157894736</v>
      </c>
      <c r="F570">
        <v>0</v>
      </c>
      <c r="G570">
        <v>0</v>
      </c>
      <c r="H570" s="1">
        <f t="shared" si="18"/>
        <v>45823</v>
      </c>
      <c r="I570">
        <f t="shared" si="19"/>
        <v>25</v>
      </c>
      <c r="L570" s="8"/>
    </row>
    <row r="571" spans="1:12" x14ac:dyDescent="0.2">
      <c r="A571">
        <v>20250615</v>
      </c>
      <c r="B571" t="s">
        <v>10</v>
      </c>
      <c r="C571" t="s">
        <v>11</v>
      </c>
      <c r="D571">
        <v>3</v>
      </c>
      <c r="E571">
        <v>82</v>
      </c>
      <c r="F571">
        <v>0</v>
      </c>
      <c r="G571">
        <v>0</v>
      </c>
      <c r="H571" s="1">
        <f t="shared" si="18"/>
        <v>45823</v>
      </c>
      <c r="I571">
        <f t="shared" si="19"/>
        <v>25</v>
      </c>
      <c r="L571" s="8"/>
    </row>
    <row r="572" spans="1:12" x14ac:dyDescent="0.2">
      <c r="A572">
        <v>20250615</v>
      </c>
      <c r="B572" t="s">
        <v>10</v>
      </c>
      <c r="C572" t="s">
        <v>8</v>
      </c>
      <c r="D572">
        <v>2</v>
      </c>
      <c r="E572">
        <v>23</v>
      </c>
      <c r="F572">
        <v>0</v>
      </c>
      <c r="G572">
        <v>0</v>
      </c>
      <c r="H572" s="1">
        <f t="shared" si="18"/>
        <v>45823</v>
      </c>
      <c r="I572">
        <f t="shared" si="19"/>
        <v>25</v>
      </c>
      <c r="L572" s="8"/>
    </row>
    <row r="573" spans="1:12" x14ac:dyDescent="0.2">
      <c r="A573">
        <v>20250616</v>
      </c>
      <c r="B573" t="s">
        <v>12</v>
      </c>
      <c r="C573" t="s">
        <v>8</v>
      </c>
      <c r="D573">
        <v>3</v>
      </c>
      <c r="E573">
        <v>11</v>
      </c>
      <c r="F573">
        <v>0</v>
      </c>
      <c r="G573">
        <v>0</v>
      </c>
      <c r="H573" s="1">
        <f t="shared" si="18"/>
        <v>45824</v>
      </c>
      <c r="I573">
        <f t="shared" si="19"/>
        <v>25</v>
      </c>
      <c r="L573" s="8"/>
    </row>
    <row r="574" spans="1:12" x14ac:dyDescent="0.2">
      <c r="A574">
        <v>20250616</v>
      </c>
      <c r="B574" t="s">
        <v>7</v>
      </c>
      <c r="C574" t="s">
        <v>8</v>
      </c>
      <c r="D574">
        <v>13</v>
      </c>
      <c r="E574">
        <v>9</v>
      </c>
      <c r="F574">
        <v>0</v>
      </c>
      <c r="G574">
        <v>0</v>
      </c>
      <c r="H574" s="1">
        <f t="shared" si="18"/>
        <v>45824</v>
      </c>
      <c r="I574">
        <f t="shared" si="19"/>
        <v>25</v>
      </c>
      <c r="L574" s="8"/>
    </row>
    <row r="575" spans="1:12" x14ac:dyDescent="0.2">
      <c r="A575">
        <v>20250616</v>
      </c>
      <c r="B575" t="s">
        <v>14</v>
      </c>
      <c r="C575" t="s">
        <v>8</v>
      </c>
      <c r="D575">
        <v>1</v>
      </c>
      <c r="E575">
        <v>23</v>
      </c>
      <c r="F575">
        <v>0</v>
      </c>
      <c r="G575">
        <v>0</v>
      </c>
      <c r="H575" s="1">
        <f t="shared" si="18"/>
        <v>45824</v>
      </c>
      <c r="I575">
        <f t="shared" si="19"/>
        <v>25</v>
      </c>
      <c r="L575" s="8"/>
    </row>
    <row r="576" spans="1:12" x14ac:dyDescent="0.2">
      <c r="A576">
        <v>20250616</v>
      </c>
      <c r="B576" t="s">
        <v>9</v>
      </c>
      <c r="C576" t="s">
        <v>8</v>
      </c>
      <c r="D576">
        <v>21</v>
      </c>
      <c r="E576">
        <v>13.523809523809501</v>
      </c>
      <c r="F576">
        <v>0</v>
      </c>
      <c r="G576">
        <v>0</v>
      </c>
      <c r="H576" s="1">
        <f t="shared" si="18"/>
        <v>45824</v>
      </c>
      <c r="I576">
        <f t="shared" si="19"/>
        <v>25</v>
      </c>
      <c r="L576" s="8"/>
    </row>
    <row r="577" spans="1:12" x14ac:dyDescent="0.2">
      <c r="A577">
        <v>20250616</v>
      </c>
      <c r="B577" t="s">
        <v>10</v>
      </c>
      <c r="C577" t="s">
        <v>11</v>
      </c>
      <c r="D577">
        <v>5</v>
      </c>
      <c r="E577">
        <v>84.8</v>
      </c>
      <c r="F577">
        <v>0</v>
      </c>
      <c r="G577">
        <v>0</v>
      </c>
      <c r="H577" s="1">
        <f t="shared" si="18"/>
        <v>45824</v>
      </c>
      <c r="I577">
        <f t="shared" si="19"/>
        <v>25</v>
      </c>
      <c r="L577" s="8"/>
    </row>
    <row r="578" spans="1:12" x14ac:dyDescent="0.2">
      <c r="A578">
        <v>20250616</v>
      </c>
      <c r="B578" t="s">
        <v>10</v>
      </c>
      <c r="C578" t="s">
        <v>8</v>
      </c>
      <c r="D578">
        <v>1</v>
      </c>
      <c r="E578">
        <v>30</v>
      </c>
      <c r="F578">
        <v>0</v>
      </c>
      <c r="G578">
        <v>0</v>
      </c>
      <c r="H578" s="1">
        <f t="shared" ref="H578:H599" si="20">DATE(LEFT(A578,4),MID(A578,5,2),RIGHT(A578,2))</f>
        <v>45824</v>
      </c>
      <c r="I578">
        <f t="shared" ref="I578:I641" si="21">WEEKNUM(H578)</f>
        <v>25</v>
      </c>
      <c r="L578" s="8"/>
    </row>
    <row r="579" spans="1:12" x14ac:dyDescent="0.2">
      <c r="A579">
        <v>20250617</v>
      </c>
      <c r="B579" t="s">
        <v>12</v>
      </c>
      <c r="C579" t="s">
        <v>8</v>
      </c>
      <c r="D579">
        <v>6</v>
      </c>
      <c r="E579">
        <v>22.1666666666666</v>
      </c>
      <c r="F579">
        <v>0</v>
      </c>
      <c r="G579">
        <v>0</v>
      </c>
      <c r="H579" s="1">
        <f t="shared" si="20"/>
        <v>45825</v>
      </c>
      <c r="I579">
        <f t="shared" si="21"/>
        <v>25</v>
      </c>
      <c r="L579" s="1"/>
    </row>
    <row r="580" spans="1:12" x14ac:dyDescent="0.2">
      <c r="A580">
        <v>20250617</v>
      </c>
      <c r="B580" t="s">
        <v>7</v>
      </c>
      <c r="C580" t="s">
        <v>8</v>
      </c>
      <c r="D580">
        <v>6</v>
      </c>
      <c r="E580">
        <v>11.5</v>
      </c>
      <c r="F580">
        <v>0</v>
      </c>
      <c r="G580">
        <v>0</v>
      </c>
      <c r="H580" s="1">
        <f t="shared" si="20"/>
        <v>45825</v>
      </c>
      <c r="I580">
        <f t="shared" si="21"/>
        <v>25</v>
      </c>
      <c r="L580" s="1"/>
    </row>
    <row r="581" spans="1:12" x14ac:dyDescent="0.2">
      <c r="A581">
        <v>20250617</v>
      </c>
      <c r="B581" t="s">
        <v>9</v>
      </c>
      <c r="C581" t="s">
        <v>8</v>
      </c>
      <c r="D581">
        <v>27</v>
      </c>
      <c r="E581">
        <v>15.148148148148101</v>
      </c>
      <c r="F581">
        <v>0</v>
      </c>
      <c r="G581">
        <v>0</v>
      </c>
      <c r="H581" s="1">
        <f t="shared" si="20"/>
        <v>45825</v>
      </c>
      <c r="I581">
        <f t="shared" si="21"/>
        <v>25</v>
      </c>
      <c r="L581" s="1"/>
    </row>
    <row r="582" spans="1:12" x14ac:dyDescent="0.2">
      <c r="A582">
        <v>20250617</v>
      </c>
      <c r="B582" t="s">
        <v>10</v>
      </c>
      <c r="C582" t="s">
        <v>11</v>
      </c>
      <c r="D582">
        <v>2</v>
      </c>
      <c r="E582">
        <v>83.5</v>
      </c>
      <c r="F582">
        <v>0</v>
      </c>
      <c r="G582">
        <v>0</v>
      </c>
      <c r="H582" s="1">
        <f t="shared" si="20"/>
        <v>45825</v>
      </c>
      <c r="I582">
        <f t="shared" si="21"/>
        <v>25</v>
      </c>
      <c r="L582" s="1"/>
    </row>
    <row r="583" spans="1:12" x14ac:dyDescent="0.2">
      <c r="A583">
        <v>20250617</v>
      </c>
      <c r="B583" t="s">
        <v>10</v>
      </c>
      <c r="C583" t="s">
        <v>8</v>
      </c>
      <c r="D583">
        <v>1</v>
      </c>
      <c r="E583">
        <v>38</v>
      </c>
      <c r="F583">
        <v>0</v>
      </c>
      <c r="G583">
        <v>0</v>
      </c>
      <c r="H583" s="1">
        <f t="shared" si="20"/>
        <v>45825</v>
      </c>
      <c r="I583">
        <f t="shared" si="21"/>
        <v>25</v>
      </c>
      <c r="L583" s="1"/>
    </row>
    <row r="584" spans="1:12" x14ac:dyDescent="0.2">
      <c r="A584">
        <v>20250617</v>
      </c>
      <c r="B584" t="s">
        <v>10</v>
      </c>
      <c r="C584" t="s">
        <v>21</v>
      </c>
      <c r="D584">
        <v>1</v>
      </c>
      <c r="E584">
        <v>45</v>
      </c>
      <c r="F584">
        <v>0</v>
      </c>
      <c r="G584">
        <v>0</v>
      </c>
      <c r="H584" s="1">
        <f t="shared" si="20"/>
        <v>45825</v>
      </c>
      <c r="I584">
        <f t="shared" si="21"/>
        <v>25</v>
      </c>
      <c r="L584" s="1"/>
    </row>
    <row r="585" spans="1:12" x14ac:dyDescent="0.2">
      <c r="A585">
        <v>20250618</v>
      </c>
      <c r="B585" t="s">
        <v>12</v>
      </c>
      <c r="C585" t="s">
        <v>8</v>
      </c>
      <c r="D585">
        <v>9</v>
      </c>
      <c r="E585">
        <v>21.6666666666666</v>
      </c>
      <c r="F585">
        <v>0</v>
      </c>
      <c r="G585">
        <v>0</v>
      </c>
      <c r="H585" s="1">
        <f t="shared" si="20"/>
        <v>45826</v>
      </c>
      <c r="I585">
        <f t="shared" si="21"/>
        <v>25</v>
      </c>
      <c r="L585" s="1"/>
    </row>
    <row r="586" spans="1:12" x14ac:dyDescent="0.2">
      <c r="A586">
        <v>20250618</v>
      </c>
      <c r="B586" t="s">
        <v>7</v>
      </c>
      <c r="C586" t="s">
        <v>8</v>
      </c>
      <c r="D586">
        <v>7</v>
      </c>
      <c r="E586">
        <v>7.71428571428571</v>
      </c>
      <c r="F586">
        <v>0</v>
      </c>
      <c r="G586">
        <v>0</v>
      </c>
      <c r="H586" s="1">
        <f t="shared" si="20"/>
        <v>45826</v>
      </c>
      <c r="I586">
        <f t="shared" si="21"/>
        <v>25</v>
      </c>
      <c r="L586" s="1"/>
    </row>
    <row r="587" spans="1:12" x14ac:dyDescent="0.2">
      <c r="A587">
        <v>20250618</v>
      </c>
      <c r="B587" t="s">
        <v>9</v>
      </c>
      <c r="C587" t="s">
        <v>8</v>
      </c>
      <c r="D587">
        <v>26</v>
      </c>
      <c r="E587">
        <v>15.615384615384601</v>
      </c>
      <c r="F587">
        <v>0</v>
      </c>
      <c r="G587">
        <v>0</v>
      </c>
      <c r="H587" s="1">
        <f t="shared" si="20"/>
        <v>45826</v>
      </c>
      <c r="I587">
        <f t="shared" si="21"/>
        <v>25</v>
      </c>
      <c r="L587" s="1"/>
    </row>
    <row r="588" spans="1:12" x14ac:dyDescent="0.2">
      <c r="A588">
        <v>20250618</v>
      </c>
      <c r="B588" t="s">
        <v>9</v>
      </c>
      <c r="C588" t="s">
        <v>26</v>
      </c>
      <c r="D588">
        <v>1</v>
      </c>
      <c r="E588">
        <v>1</v>
      </c>
      <c r="F588">
        <v>0</v>
      </c>
      <c r="G588">
        <v>0</v>
      </c>
      <c r="H588" s="1">
        <f t="shared" si="20"/>
        <v>45826</v>
      </c>
      <c r="I588">
        <f t="shared" si="21"/>
        <v>25</v>
      </c>
      <c r="L588" s="1"/>
    </row>
    <row r="589" spans="1:12" x14ac:dyDescent="0.2">
      <c r="A589">
        <v>20250618</v>
      </c>
      <c r="B589" t="s">
        <v>10</v>
      </c>
      <c r="C589" t="s">
        <v>11</v>
      </c>
      <c r="D589">
        <v>4</v>
      </c>
      <c r="E589">
        <v>63.25</v>
      </c>
      <c r="F589">
        <v>0</v>
      </c>
      <c r="G589">
        <v>0</v>
      </c>
      <c r="H589" s="1">
        <f t="shared" si="20"/>
        <v>45826</v>
      </c>
      <c r="I589">
        <f t="shared" si="21"/>
        <v>25</v>
      </c>
      <c r="L589" s="1"/>
    </row>
    <row r="590" spans="1:12" x14ac:dyDescent="0.2">
      <c r="A590">
        <v>20250618</v>
      </c>
      <c r="B590" t="s">
        <v>10</v>
      </c>
      <c r="C590" t="s">
        <v>8</v>
      </c>
      <c r="D590">
        <v>1</v>
      </c>
      <c r="E590">
        <v>33</v>
      </c>
      <c r="F590">
        <v>0</v>
      </c>
      <c r="G590">
        <v>0</v>
      </c>
      <c r="H590" s="1">
        <f t="shared" si="20"/>
        <v>45826</v>
      </c>
      <c r="I590">
        <f t="shared" si="21"/>
        <v>25</v>
      </c>
      <c r="L590" s="1"/>
    </row>
    <row r="591" spans="1:12" x14ac:dyDescent="0.2">
      <c r="A591">
        <v>20250619</v>
      </c>
      <c r="B591" t="s">
        <v>12</v>
      </c>
      <c r="C591" t="s">
        <v>21</v>
      </c>
      <c r="D591">
        <v>1</v>
      </c>
      <c r="E591">
        <v>36</v>
      </c>
      <c r="F591">
        <v>0</v>
      </c>
      <c r="G591">
        <v>1</v>
      </c>
      <c r="H591" s="1">
        <f t="shared" si="20"/>
        <v>45827</v>
      </c>
      <c r="I591">
        <f t="shared" si="21"/>
        <v>25</v>
      </c>
      <c r="L591" s="1"/>
    </row>
    <row r="592" spans="1:12" x14ac:dyDescent="0.2">
      <c r="A592">
        <v>20250619</v>
      </c>
      <c r="B592" t="s">
        <v>10</v>
      </c>
      <c r="C592" t="s">
        <v>11</v>
      </c>
      <c r="D592">
        <v>6</v>
      </c>
      <c r="E592">
        <v>48.6666666666666</v>
      </c>
      <c r="F592">
        <v>0</v>
      </c>
      <c r="G592">
        <v>0</v>
      </c>
      <c r="H592" s="1">
        <f t="shared" si="20"/>
        <v>45827</v>
      </c>
      <c r="I592">
        <f t="shared" si="21"/>
        <v>25</v>
      </c>
      <c r="L592" s="1"/>
    </row>
    <row r="593" spans="1:12" x14ac:dyDescent="0.2">
      <c r="A593">
        <v>20250619</v>
      </c>
      <c r="B593" t="s">
        <v>10</v>
      </c>
      <c r="C593" t="s">
        <v>13</v>
      </c>
      <c r="D593">
        <v>1</v>
      </c>
      <c r="E593">
        <v>1</v>
      </c>
      <c r="F593">
        <v>0</v>
      </c>
      <c r="G593">
        <v>0</v>
      </c>
      <c r="H593" s="1">
        <f t="shared" si="20"/>
        <v>45827</v>
      </c>
      <c r="I593">
        <f t="shared" si="21"/>
        <v>25</v>
      </c>
      <c r="L593" s="1"/>
    </row>
    <row r="594" spans="1:12" x14ac:dyDescent="0.2">
      <c r="A594">
        <v>20250620</v>
      </c>
      <c r="B594" t="s">
        <v>7</v>
      </c>
      <c r="C594" t="s">
        <v>28</v>
      </c>
      <c r="D594">
        <v>2</v>
      </c>
      <c r="E594">
        <v>26.5</v>
      </c>
      <c r="F594">
        <v>0</v>
      </c>
      <c r="G594">
        <v>0</v>
      </c>
      <c r="H594" s="1">
        <f t="shared" si="20"/>
        <v>45828</v>
      </c>
      <c r="I594">
        <f t="shared" si="21"/>
        <v>25</v>
      </c>
      <c r="L594" s="1"/>
    </row>
    <row r="595" spans="1:12" x14ac:dyDescent="0.2">
      <c r="A595">
        <v>20250620</v>
      </c>
      <c r="B595" t="s">
        <v>7</v>
      </c>
      <c r="C595" t="s">
        <v>26</v>
      </c>
      <c r="D595">
        <v>1</v>
      </c>
      <c r="E595">
        <v>54</v>
      </c>
      <c r="F595">
        <v>0</v>
      </c>
      <c r="G595">
        <v>2</v>
      </c>
      <c r="H595" s="1">
        <f t="shared" si="20"/>
        <v>45828</v>
      </c>
      <c r="I595">
        <f t="shared" si="21"/>
        <v>25</v>
      </c>
      <c r="L595" s="1"/>
    </row>
    <row r="596" spans="1:12" x14ac:dyDescent="0.2">
      <c r="A596">
        <v>20250620</v>
      </c>
      <c r="B596" t="s">
        <v>10</v>
      </c>
      <c r="C596" t="s">
        <v>11</v>
      </c>
      <c r="D596">
        <v>2</v>
      </c>
      <c r="E596">
        <v>44.5</v>
      </c>
      <c r="F596">
        <v>0</v>
      </c>
      <c r="G596">
        <v>0</v>
      </c>
      <c r="H596" s="1">
        <f t="shared" si="20"/>
        <v>45828</v>
      </c>
      <c r="I596">
        <f t="shared" si="21"/>
        <v>25</v>
      </c>
      <c r="L596" s="1"/>
    </row>
    <row r="597" spans="1:12" x14ac:dyDescent="0.2">
      <c r="A597">
        <v>20250621</v>
      </c>
      <c r="B597" t="s">
        <v>9</v>
      </c>
      <c r="C597" t="s">
        <v>24</v>
      </c>
      <c r="D597">
        <v>1</v>
      </c>
      <c r="E597">
        <v>72</v>
      </c>
      <c r="F597">
        <v>0</v>
      </c>
      <c r="G597">
        <v>0</v>
      </c>
      <c r="H597" s="1">
        <f t="shared" si="20"/>
        <v>45829</v>
      </c>
      <c r="I597">
        <f t="shared" si="21"/>
        <v>25</v>
      </c>
      <c r="L597" s="1"/>
    </row>
    <row r="598" spans="1:12" x14ac:dyDescent="0.2">
      <c r="A598">
        <v>20250621</v>
      </c>
      <c r="B598" t="s">
        <v>10</v>
      </c>
      <c r="C598" t="s">
        <v>11</v>
      </c>
      <c r="D598">
        <v>1</v>
      </c>
      <c r="E598">
        <v>77</v>
      </c>
      <c r="F598">
        <v>0</v>
      </c>
      <c r="G598">
        <v>0</v>
      </c>
      <c r="H598" s="1">
        <f t="shared" si="20"/>
        <v>45829</v>
      </c>
      <c r="I598">
        <f t="shared" si="21"/>
        <v>25</v>
      </c>
      <c r="L598" s="1"/>
    </row>
    <row r="599" spans="1:12" x14ac:dyDescent="0.2">
      <c r="A599">
        <v>20250621</v>
      </c>
      <c r="B599" t="s">
        <v>10</v>
      </c>
      <c r="C599" t="s">
        <v>25</v>
      </c>
      <c r="D599">
        <v>1</v>
      </c>
      <c r="E599">
        <v>51</v>
      </c>
      <c r="F599">
        <v>0</v>
      </c>
      <c r="G599">
        <v>0</v>
      </c>
      <c r="H599" s="1">
        <f t="shared" si="20"/>
        <v>45829</v>
      </c>
      <c r="I599">
        <f t="shared" si="21"/>
        <v>25</v>
      </c>
      <c r="L599" s="1"/>
    </row>
  </sheetData>
  <conditionalFormatting sqref="M1">
    <cfRule type="expression" dxfId="9" priority="3">
      <formula>COUNTIF(N:N, M1) &gt; 1</formula>
    </cfRule>
  </conditionalFormatting>
  <conditionalFormatting sqref="N1">
    <cfRule type="expression" dxfId="8" priority="1">
      <formula>COUNTIF(N:N, N1) &gt; 1</formula>
    </cfRule>
  </conditionalFormatting>
  <conditionalFormatting sqref="O1">
    <cfRule type="expression" dxfId="7" priority="5">
      <formula>COUNTIF(N:N, O1) &gt; 1</formula>
    </cfRule>
  </conditionalFormatting>
  <conditionalFormatting sqref="P1">
    <cfRule type="expression" dxfId="6" priority="7">
      <formula>COUNTIF(N:N, P1) &gt; 1</formula>
    </cfRule>
  </conditionalFormatting>
  <conditionalFormatting sqref="Q1">
    <cfRule type="expression" dxfId="5" priority="9">
      <formula>COUNTIF(N:N, Q1) &gt; 1</formula>
    </cfRule>
  </conditionalFormatting>
  <conditionalFormatting sqref="R1">
    <cfRule type="expression" dxfId="4" priority="11">
      <formula>COUNTIF(N:N, R1) &gt; 1</formula>
    </cfRule>
  </conditionalFormatting>
  <conditionalFormatting sqref="S1">
    <cfRule type="expression" dxfId="3" priority="13">
      <formula>COUNTIF(N:N, S1) &gt; 1</formula>
    </cfRule>
  </conditionalFormatting>
  <conditionalFormatting sqref="T1">
    <cfRule type="expression" dxfId="2" priority="15">
      <formula>COUNTIF(N:N, T1) &gt; 1</formula>
    </cfRule>
  </conditionalFormatting>
  <conditionalFormatting sqref="U1">
    <cfRule type="expression" dxfId="1" priority="17">
      <formula>COUNTIF(N:N, U1) &gt; 1</formula>
    </cfRule>
  </conditionalFormatting>
  <conditionalFormatting sqref="V1">
    <cfRule type="expression" dxfId="0" priority="18">
      <formula>COUNTIF(N:N, V1) &gt; 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CF43-DC92-654F-9B6F-9C77F3250DD4}">
  <dimension ref="A1:I599"/>
  <sheetViews>
    <sheetView workbookViewId="0">
      <selection sqref="A1:I1048576"/>
    </sheetView>
  </sheetViews>
  <sheetFormatPr baseColWidth="10" defaultRowHeight="16" x14ac:dyDescent="0.2"/>
  <cols>
    <col min="2" max="2" width="33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</v>
      </c>
      <c r="I1" s="2" t="s">
        <v>34</v>
      </c>
    </row>
    <row r="2" spans="1:9" x14ac:dyDescent="0.2">
      <c r="A2">
        <v>20250101</v>
      </c>
      <c r="B2" t="s">
        <v>16</v>
      </c>
      <c r="C2" t="s">
        <v>25</v>
      </c>
      <c r="D2">
        <v>2</v>
      </c>
      <c r="E2">
        <v>37.5</v>
      </c>
      <c r="F2">
        <v>0</v>
      </c>
      <c r="G2">
        <v>0</v>
      </c>
      <c r="H2" s="1">
        <f t="shared" ref="H2:H65" si="0">DATE(LEFT(A2,4),MID(A2,5,2),RIGHT(A2,2))</f>
        <v>45658</v>
      </c>
      <c r="I2">
        <f t="shared" ref="I2:I65" si="1">WEEKNUM(H2)</f>
        <v>1</v>
      </c>
    </row>
    <row r="3" spans="1:9" x14ac:dyDescent="0.2">
      <c r="A3">
        <v>20250101</v>
      </c>
      <c r="B3" t="s">
        <v>7</v>
      </c>
      <c r="C3" t="s">
        <v>17</v>
      </c>
      <c r="D3">
        <v>1</v>
      </c>
      <c r="E3">
        <v>20</v>
      </c>
      <c r="F3">
        <v>0</v>
      </c>
      <c r="G3">
        <v>0</v>
      </c>
      <c r="H3" s="1">
        <f t="shared" si="0"/>
        <v>45658</v>
      </c>
      <c r="I3">
        <f t="shared" si="1"/>
        <v>1</v>
      </c>
    </row>
    <row r="4" spans="1:9" x14ac:dyDescent="0.2">
      <c r="A4">
        <v>20250101</v>
      </c>
      <c r="B4" t="s">
        <v>7</v>
      </c>
      <c r="C4" t="s">
        <v>8</v>
      </c>
      <c r="D4">
        <v>1</v>
      </c>
      <c r="E4">
        <v>90</v>
      </c>
      <c r="F4">
        <v>0</v>
      </c>
      <c r="G4">
        <v>0</v>
      </c>
      <c r="H4" s="1">
        <f t="shared" si="0"/>
        <v>45658</v>
      </c>
      <c r="I4">
        <f t="shared" si="1"/>
        <v>1</v>
      </c>
    </row>
    <row r="5" spans="1:9" x14ac:dyDescent="0.2">
      <c r="A5">
        <v>20250101</v>
      </c>
      <c r="B5" t="s">
        <v>10</v>
      </c>
      <c r="C5" t="s">
        <v>25</v>
      </c>
      <c r="D5">
        <v>3</v>
      </c>
      <c r="E5">
        <v>34.6666666666666</v>
      </c>
      <c r="F5">
        <v>0</v>
      </c>
      <c r="G5">
        <v>0</v>
      </c>
      <c r="H5" s="1">
        <f t="shared" si="0"/>
        <v>45658</v>
      </c>
      <c r="I5">
        <f t="shared" si="1"/>
        <v>1</v>
      </c>
    </row>
    <row r="6" spans="1:9" x14ac:dyDescent="0.2">
      <c r="A6">
        <v>20250101</v>
      </c>
      <c r="B6" t="s">
        <v>10</v>
      </c>
      <c r="C6" t="s">
        <v>28</v>
      </c>
      <c r="D6">
        <v>1</v>
      </c>
      <c r="E6">
        <v>37</v>
      </c>
      <c r="F6">
        <v>0</v>
      </c>
      <c r="G6">
        <v>0</v>
      </c>
      <c r="H6" s="1">
        <f t="shared" si="0"/>
        <v>45658</v>
      </c>
      <c r="I6">
        <f t="shared" si="1"/>
        <v>1</v>
      </c>
    </row>
    <row r="7" spans="1:9" x14ac:dyDescent="0.2">
      <c r="A7">
        <v>20250101</v>
      </c>
      <c r="B7" t="s">
        <v>10</v>
      </c>
      <c r="C7" t="s">
        <v>8</v>
      </c>
      <c r="D7">
        <v>1</v>
      </c>
      <c r="E7">
        <v>9</v>
      </c>
      <c r="F7">
        <v>0</v>
      </c>
      <c r="G7">
        <v>0</v>
      </c>
      <c r="H7" s="1">
        <f t="shared" si="0"/>
        <v>45658</v>
      </c>
      <c r="I7">
        <f t="shared" si="1"/>
        <v>1</v>
      </c>
    </row>
    <row r="8" spans="1:9" x14ac:dyDescent="0.2">
      <c r="A8">
        <v>20250102</v>
      </c>
      <c r="B8" t="s">
        <v>7</v>
      </c>
      <c r="C8" t="s">
        <v>28</v>
      </c>
      <c r="D8">
        <v>2</v>
      </c>
      <c r="E8">
        <v>13</v>
      </c>
      <c r="F8">
        <v>0</v>
      </c>
      <c r="G8">
        <v>0</v>
      </c>
      <c r="H8" s="1">
        <f t="shared" si="0"/>
        <v>45659</v>
      </c>
      <c r="I8">
        <f t="shared" si="1"/>
        <v>1</v>
      </c>
    </row>
    <row r="9" spans="1:9" x14ac:dyDescent="0.2">
      <c r="A9">
        <v>20250102</v>
      </c>
      <c r="B9" t="s">
        <v>9</v>
      </c>
      <c r="C9" t="s">
        <v>15</v>
      </c>
      <c r="D9">
        <v>1</v>
      </c>
      <c r="E9">
        <v>1</v>
      </c>
      <c r="F9">
        <v>0</v>
      </c>
      <c r="G9">
        <v>0</v>
      </c>
      <c r="H9" s="1">
        <f t="shared" si="0"/>
        <v>45659</v>
      </c>
      <c r="I9">
        <f t="shared" si="1"/>
        <v>1</v>
      </c>
    </row>
    <row r="10" spans="1:9" x14ac:dyDescent="0.2">
      <c r="A10">
        <v>20250104</v>
      </c>
      <c r="B10" t="s">
        <v>12</v>
      </c>
      <c r="C10" t="s">
        <v>8</v>
      </c>
      <c r="D10">
        <v>1</v>
      </c>
      <c r="E10">
        <v>1</v>
      </c>
      <c r="F10">
        <v>0</v>
      </c>
      <c r="G10">
        <v>0</v>
      </c>
      <c r="H10" s="1">
        <f t="shared" si="0"/>
        <v>45661</v>
      </c>
      <c r="I10">
        <f t="shared" si="1"/>
        <v>1</v>
      </c>
    </row>
    <row r="11" spans="1:9" x14ac:dyDescent="0.2">
      <c r="A11">
        <v>20250104</v>
      </c>
      <c r="B11" t="s">
        <v>16</v>
      </c>
      <c r="C11" t="s">
        <v>17</v>
      </c>
      <c r="D11">
        <v>1</v>
      </c>
      <c r="E11">
        <v>31</v>
      </c>
      <c r="F11">
        <v>0</v>
      </c>
      <c r="G11">
        <v>0</v>
      </c>
      <c r="H11" s="1">
        <f t="shared" si="0"/>
        <v>45661</v>
      </c>
      <c r="I11">
        <f t="shared" si="1"/>
        <v>1</v>
      </c>
    </row>
    <row r="12" spans="1:9" x14ac:dyDescent="0.2">
      <c r="A12">
        <v>20250105</v>
      </c>
      <c r="B12" t="s">
        <v>9</v>
      </c>
      <c r="C12" t="s">
        <v>15</v>
      </c>
      <c r="D12">
        <v>2</v>
      </c>
      <c r="E12">
        <v>1</v>
      </c>
      <c r="F12">
        <v>0</v>
      </c>
      <c r="G12">
        <v>0</v>
      </c>
      <c r="H12" s="1">
        <f t="shared" si="0"/>
        <v>45662</v>
      </c>
      <c r="I12">
        <f t="shared" si="1"/>
        <v>2</v>
      </c>
    </row>
    <row r="13" spans="1:9" x14ac:dyDescent="0.2">
      <c r="A13">
        <v>20250106</v>
      </c>
      <c r="B13" t="s">
        <v>19</v>
      </c>
      <c r="C13" t="s">
        <v>15</v>
      </c>
      <c r="D13">
        <v>4</v>
      </c>
      <c r="E13">
        <v>2</v>
      </c>
      <c r="F13">
        <v>0</v>
      </c>
      <c r="G13">
        <v>0</v>
      </c>
      <c r="H13" s="1">
        <f t="shared" si="0"/>
        <v>45663</v>
      </c>
      <c r="I13">
        <f t="shared" si="1"/>
        <v>2</v>
      </c>
    </row>
    <row r="14" spans="1:9" x14ac:dyDescent="0.2">
      <c r="A14">
        <v>20250106</v>
      </c>
      <c r="B14" t="s">
        <v>16</v>
      </c>
      <c r="C14" t="s">
        <v>13</v>
      </c>
      <c r="D14">
        <v>2</v>
      </c>
      <c r="E14">
        <v>1</v>
      </c>
      <c r="F14">
        <v>0</v>
      </c>
      <c r="G14">
        <v>0</v>
      </c>
      <c r="H14" s="1">
        <f t="shared" si="0"/>
        <v>45663</v>
      </c>
      <c r="I14">
        <f t="shared" si="1"/>
        <v>2</v>
      </c>
    </row>
    <row r="15" spans="1:9" x14ac:dyDescent="0.2">
      <c r="A15">
        <v>20250106</v>
      </c>
      <c r="B15" t="s">
        <v>16</v>
      </c>
      <c r="C15" t="s">
        <v>8</v>
      </c>
      <c r="D15">
        <v>1</v>
      </c>
      <c r="E15">
        <v>38</v>
      </c>
      <c r="F15">
        <v>0</v>
      </c>
      <c r="G15">
        <v>0</v>
      </c>
      <c r="H15" s="1">
        <f t="shared" si="0"/>
        <v>45663</v>
      </c>
      <c r="I15">
        <f t="shared" si="1"/>
        <v>2</v>
      </c>
    </row>
    <row r="16" spans="1:9" x14ac:dyDescent="0.2">
      <c r="A16">
        <v>20250106</v>
      </c>
      <c r="B16" t="s">
        <v>7</v>
      </c>
      <c r="C16" t="s">
        <v>8</v>
      </c>
      <c r="D16">
        <v>4</v>
      </c>
      <c r="E16">
        <v>1</v>
      </c>
      <c r="F16">
        <v>0</v>
      </c>
      <c r="G16">
        <v>0</v>
      </c>
      <c r="H16" s="1">
        <f t="shared" si="0"/>
        <v>45663</v>
      </c>
      <c r="I16">
        <f t="shared" si="1"/>
        <v>2</v>
      </c>
    </row>
    <row r="17" spans="1:9" x14ac:dyDescent="0.2">
      <c r="A17">
        <v>20250106</v>
      </c>
      <c r="B17" t="s">
        <v>14</v>
      </c>
      <c r="C17" t="s">
        <v>15</v>
      </c>
      <c r="D17">
        <v>3</v>
      </c>
      <c r="E17">
        <v>45</v>
      </c>
      <c r="F17">
        <v>0</v>
      </c>
      <c r="G17">
        <v>2</v>
      </c>
      <c r="H17" s="1">
        <f t="shared" si="0"/>
        <v>45663</v>
      </c>
      <c r="I17">
        <f t="shared" si="1"/>
        <v>2</v>
      </c>
    </row>
    <row r="18" spans="1:9" x14ac:dyDescent="0.2">
      <c r="A18">
        <v>20250107</v>
      </c>
      <c r="B18" t="s">
        <v>7</v>
      </c>
      <c r="C18" t="s">
        <v>8</v>
      </c>
      <c r="D18">
        <v>3</v>
      </c>
      <c r="E18">
        <v>1.3333333333333299</v>
      </c>
      <c r="F18">
        <v>0</v>
      </c>
      <c r="G18">
        <v>0</v>
      </c>
      <c r="H18" s="1">
        <f t="shared" si="0"/>
        <v>45664</v>
      </c>
      <c r="I18">
        <f t="shared" si="1"/>
        <v>2</v>
      </c>
    </row>
    <row r="19" spans="1:9" x14ac:dyDescent="0.2">
      <c r="A19">
        <v>20250107</v>
      </c>
      <c r="B19" t="s">
        <v>9</v>
      </c>
      <c r="C19" t="s">
        <v>18</v>
      </c>
      <c r="D19">
        <v>1</v>
      </c>
      <c r="E19">
        <v>2</v>
      </c>
      <c r="F19">
        <v>0</v>
      </c>
      <c r="G19">
        <v>0</v>
      </c>
      <c r="H19" s="1">
        <f t="shared" si="0"/>
        <v>45664</v>
      </c>
      <c r="I19">
        <f t="shared" si="1"/>
        <v>2</v>
      </c>
    </row>
    <row r="20" spans="1:9" x14ac:dyDescent="0.2">
      <c r="A20">
        <v>20250107</v>
      </c>
      <c r="B20" t="s">
        <v>10</v>
      </c>
      <c r="C20" t="s">
        <v>22</v>
      </c>
      <c r="D20">
        <v>1</v>
      </c>
      <c r="E20">
        <v>37</v>
      </c>
      <c r="F20">
        <v>0</v>
      </c>
      <c r="G20">
        <v>0</v>
      </c>
      <c r="H20" s="1">
        <f t="shared" si="0"/>
        <v>45664</v>
      </c>
      <c r="I20">
        <f t="shared" si="1"/>
        <v>2</v>
      </c>
    </row>
    <row r="21" spans="1:9" x14ac:dyDescent="0.2">
      <c r="A21">
        <v>20250108</v>
      </c>
      <c r="B21" t="s">
        <v>16</v>
      </c>
      <c r="C21" t="s">
        <v>8</v>
      </c>
      <c r="D21">
        <v>2</v>
      </c>
      <c r="E21">
        <v>1</v>
      </c>
      <c r="F21">
        <v>0</v>
      </c>
      <c r="G21">
        <v>0</v>
      </c>
      <c r="H21" s="1">
        <f t="shared" si="0"/>
        <v>45665</v>
      </c>
      <c r="I21">
        <f t="shared" si="1"/>
        <v>2</v>
      </c>
    </row>
    <row r="22" spans="1:9" x14ac:dyDescent="0.2">
      <c r="A22">
        <v>20250108</v>
      </c>
      <c r="B22" t="s">
        <v>10</v>
      </c>
      <c r="C22" t="s">
        <v>8</v>
      </c>
      <c r="D22">
        <v>1</v>
      </c>
      <c r="E22">
        <v>9</v>
      </c>
      <c r="F22">
        <v>0</v>
      </c>
      <c r="G22">
        <v>0</v>
      </c>
      <c r="H22" s="1">
        <f t="shared" si="0"/>
        <v>45665</v>
      </c>
      <c r="I22">
        <f t="shared" si="1"/>
        <v>2</v>
      </c>
    </row>
    <row r="23" spans="1:9" x14ac:dyDescent="0.2">
      <c r="A23">
        <v>20250109</v>
      </c>
      <c r="B23" t="s">
        <v>14</v>
      </c>
      <c r="C23" t="s">
        <v>13</v>
      </c>
      <c r="D23">
        <v>1</v>
      </c>
      <c r="E23">
        <v>12</v>
      </c>
      <c r="F23">
        <v>0</v>
      </c>
      <c r="G23">
        <v>0</v>
      </c>
      <c r="H23" s="1">
        <f t="shared" si="0"/>
        <v>45666</v>
      </c>
      <c r="I23">
        <f t="shared" si="1"/>
        <v>2</v>
      </c>
    </row>
    <row r="24" spans="1:9" x14ac:dyDescent="0.2">
      <c r="A24">
        <v>20250109</v>
      </c>
      <c r="B24" t="s">
        <v>10</v>
      </c>
      <c r="C24" t="s">
        <v>8</v>
      </c>
      <c r="D24">
        <v>5</v>
      </c>
      <c r="E24">
        <v>35</v>
      </c>
      <c r="F24">
        <v>0</v>
      </c>
      <c r="G24">
        <v>0</v>
      </c>
      <c r="H24" s="1">
        <f t="shared" si="0"/>
        <v>45666</v>
      </c>
      <c r="I24">
        <f t="shared" si="1"/>
        <v>2</v>
      </c>
    </row>
    <row r="25" spans="1:9" x14ac:dyDescent="0.2">
      <c r="A25">
        <v>20250110</v>
      </c>
      <c r="B25" t="s">
        <v>7</v>
      </c>
      <c r="C25" t="s">
        <v>8</v>
      </c>
      <c r="D25">
        <v>2</v>
      </c>
      <c r="E25">
        <v>2</v>
      </c>
      <c r="F25">
        <v>0</v>
      </c>
      <c r="G25">
        <v>0</v>
      </c>
      <c r="H25" s="1">
        <f t="shared" si="0"/>
        <v>45667</v>
      </c>
      <c r="I25">
        <f t="shared" si="1"/>
        <v>2</v>
      </c>
    </row>
    <row r="26" spans="1:9" x14ac:dyDescent="0.2">
      <c r="A26">
        <v>20250111</v>
      </c>
      <c r="B26" t="s">
        <v>7</v>
      </c>
      <c r="C26" t="s">
        <v>8</v>
      </c>
      <c r="D26">
        <v>1</v>
      </c>
      <c r="E26">
        <v>36</v>
      </c>
      <c r="F26">
        <v>0</v>
      </c>
      <c r="G26">
        <v>0</v>
      </c>
      <c r="H26" s="1">
        <f t="shared" si="0"/>
        <v>45668</v>
      </c>
      <c r="I26">
        <f t="shared" si="1"/>
        <v>2</v>
      </c>
    </row>
    <row r="27" spans="1:9" x14ac:dyDescent="0.2">
      <c r="A27">
        <v>20250112</v>
      </c>
      <c r="B27" t="s">
        <v>7</v>
      </c>
      <c r="C27" t="s">
        <v>8</v>
      </c>
      <c r="D27">
        <v>1</v>
      </c>
      <c r="E27">
        <v>24</v>
      </c>
      <c r="F27">
        <v>0</v>
      </c>
      <c r="G27">
        <v>0</v>
      </c>
      <c r="H27" s="1">
        <f t="shared" si="0"/>
        <v>45669</v>
      </c>
      <c r="I27">
        <f t="shared" si="1"/>
        <v>3</v>
      </c>
    </row>
    <row r="28" spans="1:9" x14ac:dyDescent="0.2">
      <c r="A28">
        <v>20250113</v>
      </c>
      <c r="B28" t="s">
        <v>7</v>
      </c>
      <c r="C28" t="s">
        <v>13</v>
      </c>
      <c r="D28">
        <v>2</v>
      </c>
      <c r="E28">
        <v>1</v>
      </c>
      <c r="F28">
        <v>0</v>
      </c>
      <c r="G28">
        <v>0</v>
      </c>
      <c r="H28" s="1">
        <f t="shared" si="0"/>
        <v>45670</v>
      </c>
      <c r="I28">
        <f t="shared" si="1"/>
        <v>3</v>
      </c>
    </row>
    <row r="29" spans="1:9" x14ac:dyDescent="0.2">
      <c r="A29">
        <v>20250113</v>
      </c>
      <c r="B29" t="s">
        <v>9</v>
      </c>
      <c r="C29" t="s">
        <v>8</v>
      </c>
      <c r="D29">
        <v>4</v>
      </c>
      <c r="E29">
        <v>17.25</v>
      </c>
      <c r="F29">
        <v>0</v>
      </c>
      <c r="G29">
        <v>0</v>
      </c>
      <c r="H29" s="1">
        <f t="shared" si="0"/>
        <v>45670</v>
      </c>
      <c r="I29">
        <f t="shared" si="1"/>
        <v>3</v>
      </c>
    </row>
    <row r="30" spans="1:9" x14ac:dyDescent="0.2">
      <c r="A30">
        <v>20250114</v>
      </c>
      <c r="B30" t="s">
        <v>16</v>
      </c>
      <c r="C30" t="s">
        <v>22</v>
      </c>
      <c r="D30">
        <v>1</v>
      </c>
      <c r="E30">
        <v>72</v>
      </c>
      <c r="F30">
        <v>0</v>
      </c>
      <c r="G30">
        <v>0</v>
      </c>
      <c r="H30" s="1">
        <f t="shared" si="0"/>
        <v>45671</v>
      </c>
      <c r="I30">
        <f t="shared" si="1"/>
        <v>3</v>
      </c>
    </row>
    <row r="31" spans="1:9" x14ac:dyDescent="0.2">
      <c r="A31">
        <v>20250114</v>
      </c>
      <c r="B31" t="s">
        <v>7</v>
      </c>
      <c r="C31" t="s">
        <v>15</v>
      </c>
      <c r="D31">
        <v>1</v>
      </c>
      <c r="E31">
        <v>1</v>
      </c>
      <c r="F31">
        <v>0</v>
      </c>
      <c r="G31">
        <v>0</v>
      </c>
      <c r="H31" s="1">
        <f t="shared" si="0"/>
        <v>45671</v>
      </c>
      <c r="I31">
        <f t="shared" si="1"/>
        <v>3</v>
      </c>
    </row>
    <row r="32" spans="1:9" x14ac:dyDescent="0.2">
      <c r="A32">
        <v>20250114</v>
      </c>
      <c r="B32" t="s">
        <v>23</v>
      </c>
      <c r="C32" t="s">
        <v>13</v>
      </c>
      <c r="D32">
        <v>4</v>
      </c>
      <c r="E32">
        <v>1</v>
      </c>
      <c r="F32">
        <v>0</v>
      </c>
      <c r="G32">
        <v>0</v>
      </c>
      <c r="H32" s="1">
        <f t="shared" si="0"/>
        <v>45671</v>
      </c>
      <c r="I32">
        <f t="shared" si="1"/>
        <v>3</v>
      </c>
    </row>
    <row r="33" spans="1:9" x14ac:dyDescent="0.2">
      <c r="A33">
        <v>20250114</v>
      </c>
      <c r="B33" t="s">
        <v>10</v>
      </c>
      <c r="C33" t="s">
        <v>8</v>
      </c>
      <c r="D33">
        <v>2</v>
      </c>
      <c r="E33">
        <v>20</v>
      </c>
      <c r="F33">
        <v>0</v>
      </c>
      <c r="G33">
        <v>0</v>
      </c>
      <c r="H33" s="1">
        <f t="shared" si="0"/>
        <v>45671</v>
      </c>
      <c r="I33">
        <f t="shared" si="1"/>
        <v>3</v>
      </c>
    </row>
    <row r="34" spans="1:9" x14ac:dyDescent="0.2">
      <c r="A34">
        <v>20250117</v>
      </c>
      <c r="B34" t="s">
        <v>23</v>
      </c>
      <c r="C34" t="s">
        <v>8</v>
      </c>
      <c r="D34">
        <v>1</v>
      </c>
      <c r="E34">
        <v>18</v>
      </c>
      <c r="F34">
        <v>0</v>
      </c>
      <c r="G34">
        <v>0</v>
      </c>
      <c r="H34" s="1">
        <f t="shared" si="0"/>
        <v>45674</v>
      </c>
      <c r="I34">
        <f t="shared" si="1"/>
        <v>3</v>
      </c>
    </row>
    <row r="35" spans="1:9" x14ac:dyDescent="0.2">
      <c r="A35">
        <v>20250117</v>
      </c>
      <c r="B35" t="s">
        <v>10</v>
      </c>
      <c r="C35" t="s">
        <v>8</v>
      </c>
      <c r="D35">
        <v>1</v>
      </c>
      <c r="E35">
        <v>47</v>
      </c>
      <c r="F35">
        <v>0</v>
      </c>
      <c r="G35">
        <v>0</v>
      </c>
      <c r="H35" s="1">
        <f t="shared" si="0"/>
        <v>45674</v>
      </c>
      <c r="I35">
        <f t="shared" si="1"/>
        <v>3</v>
      </c>
    </row>
    <row r="36" spans="1:9" x14ac:dyDescent="0.2">
      <c r="A36">
        <v>20250118</v>
      </c>
      <c r="B36" t="s">
        <v>19</v>
      </c>
      <c r="C36" t="s">
        <v>13</v>
      </c>
      <c r="D36">
        <v>1</v>
      </c>
      <c r="E36">
        <v>85</v>
      </c>
      <c r="F36">
        <v>0</v>
      </c>
      <c r="G36">
        <v>0</v>
      </c>
      <c r="H36" s="1">
        <f t="shared" si="0"/>
        <v>45675</v>
      </c>
      <c r="I36">
        <f t="shared" si="1"/>
        <v>3</v>
      </c>
    </row>
    <row r="37" spans="1:9" x14ac:dyDescent="0.2">
      <c r="A37">
        <v>20250118</v>
      </c>
      <c r="B37" t="s">
        <v>9</v>
      </c>
      <c r="C37" t="s">
        <v>22</v>
      </c>
      <c r="D37">
        <v>1</v>
      </c>
      <c r="E37">
        <v>80</v>
      </c>
      <c r="F37">
        <v>0</v>
      </c>
      <c r="G37">
        <v>0</v>
      </c>
      <c r="H37" s="1">
        <f t="shared" si="0"/>
        <v>45675</v>
      </c>
      <c r="I37">
        <f t="shared" si="1"/>
        <v>3</v>
      </c>
    </row>
    <row r="38" spans="1:9" x14ac:dyDescent="0.2">
      <c r="A38">
        <v>20250118</v>
      </c>
      <c r="B38" t="s">
        <v>9</v>
      </c>
      <c r="C38" t="s">
        <v>24</v>
      </c>
      <c r="D38">
        <v>1</v>
      </c>
      <c r="E38">
        <v>27</v>
      </c>
      <c r="F38">
        <v>0</v>
      </c>
      <c r="G38">
        <v>0</v>
      </c>
      <c r="H38" s="1">
        <f t="shared" si="0"/>
        <v>45675</v>
      </c>
      <c r="I38">
        <f t="shared" si="1"/>
        <v>3</v>
      </c>
    </row>
    <row r="39" spans="1:9" x14ac:dyDescent="0.2">
      <c r="A39">
        <v>20250118</v>
      </c>
      <c r="B39" t="s">
        <v>10</v>
      </c>
      <c r="C39" t="s">
        <v>25</v>
      </c>
      <c r="D39">
        <v>2</v>
      </c>
      <c r="E39">
        <v>47</v>
      </c>
      <c r="F39">
        <v>0</v>
      </c>
      <c r="G39">
        <v>0</v>
      </c>
      <c r="H39" s="1">
        <f t="shared" si="0"/>
        <v>45675</v>
      </c>
      <c r="I39">
        <f t="shared" si="1"/>
        <v>3</v>
      </c>
    </row>
    <row r="40" spans="1:9" x14ac:dyDescent="0.2">
      <c r="A40">
        <v>20250118</v>
      </c>
      <c r="B40" t="s">
        <v>10</v>
      </c>
      <c r="C40" t="s">
        <v>8</v>
      </c>
      <c r="D40">
        <v>1</v>
      </c>
      <c r="E40">
        <v>11</v>
      </c>
      <c r="F40">
        <v>0</v>
      </c>
      <c r="G40">
        <v>0</v>
      </c>
      <c r="H40" s="1">
        <f t="shared" si="0"/>
        <v>45675</v>
      </c>
      <c r="I40">
        <f t="shared" si="1"/>
        <v>3</v>
      </c>
    </row>
    <row r="41" spans="1:9" x14ac:dyDescent="0.2">
      <c r="A41">
        <v>20250118</v>
      </c>
      <c r="B41" t="s">
        <v>10</v>
      </c>
      <c r="C41" t="s">
        <v>18</v>
      </c>
      <c r="D41">
        <v>1</v>
      </c>
      <c r="E41">
        <v>2</v>
      </c>
      <c r="F41">
        <v>0</v>
      </c>
      <c r="G41">
        <v>0</v>
      </c>
      <c r="H41" s="1">
        <f t="shared" si="0"/>
        <v>45675</v>
      </c>
      <c r="I41">
        <f t="shared" si="1"/>
        <v>3</v>
      </c>
    </row>
    <row r="42" spans="1:9" x14ac:dyDescent="0.2">
      <c r="A42">
        <v>20250119</v>
      </c>
      <c r="B42" t="s">
        <v>12</v>
      </c>
      <c r="C42" t="s">
        <v>8</v>
      </c>
      <c r="D42">
        <v>1</v>
      </c>
      <c r="E42">
        <v>26</v>
      </c>
      <c r="F42">
        <v>0</v>
      </c>
      <c r="G42">
        <v>0</v>
      </c>
      <c r="H42" s="1">
        <f t="shared" si="0"/>
        <v>45676</v>
      </c>
      <c r="I42">
        <f t="shared" si="1"/>
        <v>4</v>
      </c>
    </row>
    <row r="43" spans="1:9" x14ac:dyDescent="0.2">
      <c r="A43">
        <v>20250119</v>
      </c>
      <c r="B43" t="s">
        <v>16</v>
      </c>
      <c r="C43" t="s">
        <v>8</v>
      </c>
      <c r="D43">
        <v>1</v>
      </c>
      <c r="E43">
        <v>1</v>
      </c>
      <c r="F43">
        <v>0</v>
      </c>
      <c r="G43">
        <v>0</v>
      </c>
      <c r="H43" s="1">
        <f t="shared" si="0"/>
        <v>45676</v>
      </c>
      <c r="I43">
        <f t="shared" si="1"/>
        <v>4</v>
      </c>
    </row>
    <row r="44" spans="1:9" x14ac:dyDescent="0.2">
      <c r="A44">
        <v>20250119</v>
      </c>
      <c r="B44" t="s">
        <v>10</v>
      </c>
      <c r="C44" t="s">
        <v>8</v>
      </c>
      <c r="D44">
        <v>2</v>
      </c>
      <c r="E44">
        <v>11.5</v>
      </c>
      <c r="F44">
        <v>0</v>
      </c>
      <c r="G44">
        <v>0</v>
      </c>
      <c r="H44" s="1">
        <f t="shared" si="0"/>
        <v>45676</v>
      </c>
      <c r="I44">
        <f t="shared" si="1"/>
        <v>4</v>
      </c>
    </row>
    <row r="45" spans="1:9" x14ac:dyDescent="0.2">
      <c r="A45">
        <v>20250119</v>
      </c>
      <c r="B45" t="s">
        <v>10</v>
      </c>
      <c r="C45" t="s">
        <v>17</v>
      </c>
      <c r="D45">
        <v>1</v>
      </c>
      <c r="E45">
        <v>35</v>
      </c>
      <c r="F45">
        <v>0</v>
      </c>
      <c r="G45">
        <v>0</v>
      </c>
      <c r="H45" s="1">
        <f t="shared" si="0"/>
        <v>45676</v>
      </c>
      <c r="I45">
        <f t="shared" si="1"/>
        <v>4</v>
      </c>
    </row>
    <row r="46" spans="1:9" x14ac:dyDescent="0.2">
      <c r="A46">
        <v>20250119</v>
      </c>
      <c r="B46" t="s">
        <v>10</v>
      </c>
      <c r="C46" t="s">
        <v>32</v>
      </c>
      <c r="D46">
        <v>1</v>
      </c>
      <c r="E46">
        <v>13</v>
      </c>
      <c r="F46">
        <v>0</v>
      </c>
      <c r="G46">
        <v>0</v>
      </c>
      <c r="H46" s="1">
        <f t="shared" si="0"/>
        <v>45676</v>
      </c>
      <c r="I46">
        <f t="shared" si="1"/>
        <v>4</v>
      </c>
    </row>
    <row r="47" spans="1:9" x14ac:dyDescent="0.2">
      <c r="A47">
        <v>20250120</v>
      </c>
      <c r="B47" t="s">
        <v>16</v>
      </c>
      <c r="C47" t="s">
        <v>8</v>
      </c>
      <c r="D47">
        <v>1</v>
      </c>
      <c r="E47">
        <v>16</v>
      </c>
      <c r="F47">
        <v>0</v>
      </c>
      <c r="G47">
        <v>0</v>
      </c>
      <c r="H47" s="1">
        <f t="shared" si="0"/>
        <v>45677</v>
      </c>
      <c r="I47">
        <f t="shared" si="1"/>
        <v>4</v>
      </c>
    </row>
    <row r="48" spans="1:9" x14ac:dyDescent="0.2">
      <c r="A48">
        <v>20250120</v>
      </c>
      <c r="B48" t="s">
        <v>16</v>
      </c>
      <c r="C48" t="s">
        <v>13</v>
      </c>
      <c r="D48">
        <v>1</v>
      </c>
      <c r="E48">
        <v>1</v>
      </c>
      <c r="F48">
        <v>0</v>
      </c>
      <c r="G48">
        <v>0</v>
      </c>
      <c r="H48" s="1">
        <f t="shared" si="0"/>
        <v>45677</v>
      </c>
      <c r="I48">
        <f t="shared" si="1"/>
        <v>4</v>
      </c>
    </row>
    <row r="49" spans="1:9" x14ac:dyDescent="0.2">
      <c r="A49">
        <v>20250120</v>
      </c>
      <c r="B49" t="s">
        <v>7</v>
      </c>
      <c r="C49" t="s">
        <v>8</v>
      </c>
      <c r="D49">
        <v>2</v>
      </c>
      <c r="E49">
        <v>1.5</v>
      </c>
      <c r="F49">
        <v>0</v>
      </c>
      <c r="G49">
        <v>0</v>
      </c>
      <c r="H49" s="1">
        <f t="shared" si="0"/>
        <v>45677</v>
      </c>
      <c r="I49">
        <f t="shared" si="1"/>
        <v>4</v>
      </c>
    </row>
    <row r="50" spans="1:9" x14ac:dyDescent="0.2">
      <c r="A50">
        <v>20250120</v>
      </c>
      <c r="B50" t="s">
        <v>23</v>
      </c>
      <c r="C50" t="s">
        <v>8</v>
      </c>
      <c r="D50">
        <v>1</v>
      </c>
      <c r="E50">
        <v>12</v>
      </c>
      <c r="F50">
        <v>0</v>
      </c>
      <c r="G50">
        <v>0</v>
      </c>
      <c r="H50" s="1">
        <f t="shared" si="0"/>
        <v>45677</v>
      </c>
      <c r="I50">
        <f t="shared" si="1"/>
        <v>4</v>
      </c>
    </row>
    <row r="51" spans="1:9" x14ac:dyDescent="0.2">
      <c r="A51">
        <v>20250120</v>
      </c>
      <c r="B51" t="s">
        <v>9</v>
      </c>
      <c r="C51" t="s">
        <v>13</v>
      </c>
      <c r="D51">
        <v>1</v>
      </c>
      <c r="E51">
        <v>1</v>
      </c>
      <c r="F51">
        <v>0</v>
      </c>
      <c r="G51">
        <v>0</v>
      </c>
      <c r="H51" s="1">
        <f t="shared" si="0"/>
        <v>45677</v>
      </c>
      <c r="I51">
        <f t="shared" si="1"/>
        <v>4</v>
      </c>
    </row>
    <row r="52" spans="1:9" x14ac:dyDescent="0.2">
      <c r="A52">
        <v>20250120</v>
      </c>
      <c r="B52" t="s">
        <v>10</v>
      </c>
      <c r="C52" t="s">
        <v>13</v>
      </c>
      <c r="D52">
        <v>1</v>
      </c>
      <c r="E52">
        <v>1</v>
      </c>
      <c r="F52">
        <v>0</v>
      </c>
      <c r="G52">
        <v>5</v>
      </c>
      <c r="H52" s="1">
        <f t="shared" si="0"/>
        <v>45677</v>
      </c>
      <c r="I52">
        <f t="shared" si="1"/>
        <v>4</v>
      </c>
    </row>
    <row r="53" spans="1:9" x14ac:dyDescent="0.2">
      <c r="A53">
        <v>20250121</v>
      </c>
      <c r="B53" t="s">
        <v>16</v>
      </c>
      <c r="C53" t="s">
        <v>8</v>
      </c>
      <c r="D53">
        <v>1</v>
      </c>
      <c r="E53">
        <v>24</v>
      </c>
      <c r="F53">
        <v>0</v>
      </c>
      <c r="G53">
        <v>0</v>
      </c>
      <c r="H53" s="1">
        <f t="shared" si="0"/>
        <v>45678</v>
      </c>
      <c r="I53">
        <f t="shared" si="1"/>
        <v>4</v>
      </c>
    </row>
    <row r="54" spans="1:9" x14ac:dyDescent="0.2">
      <c r="A54">
        <v>20250121</v>
      </c>
      <c r="B54" t="s">
        <v>10</v>
      </c>
      <c r="C54" t="s">
        <v>8</v>
      </c>
      <c r="D54">
        <v>1</v>
      </c>
      <c r="E54">
        <v>15</v>
      </c>
      <c r="F54">
        <v>0</v>
      </c>
      <c r="G54">
        <v>0</v>
      </c>
      <c r="H54" s="1">
        <f t="shared" si="0"/>
        <v>45678</v>
      </c>
      <c r="I54">
        <f t="shared" si="1"/>
        <v>4</v>
      </c>
    </row>
    <row r="55" spans="1:9" x14ac:dyDescent="0.2">
      <c r="A55">
        <v>20250122</v>
      </c>
      <c r="B55" t="s">
        <v>16</v>
      </c>
      <c r="C55" t="s">
        <v>13</v>
      </c>
      <c r="D55">
        <v>1</v>
      </c>
      <c r="E55">
        <v>37</v>
      </c>
      <c r="F55">
        <v>0</v>
      </c>
      <c r="G55">
        <v>0</v>
      </c>
      <c r="H55" s="1">
        <f t="shared" si="0"/>
        <v>45679</v>
      </c>
      <c r="I55">
        <f t="shared" si="1"/>
        <v>4</v>
      </c>
    </row>
    <row r="56" spans="1:9" x14ac:dyDescent="0.2">
      <c r="A56">
        <v>20250122</v>
      </c>
      <c r="B56" t="s">
        <v>7</v>
      </c>
      <c r="C56" t="s">
        <v>8</v>
      </c>
      <c r="D56">
        <v>1</v>
      </c>
      <c r="E56">
        <v>71</v>
      </c>
      <c r="F56">
        <v>0</v>
      </c>
      <c r="G56">
        <v>1</v>
      </c>
      <c r="H56" s="1">
        <f t="shared" si="0"/>
        <v>45679</v>
      </c>
      <c r="I56">
        <f t="shared" si="1"/>
        <v>4</v>
      </c>
    </row>
    <row r="57" spans="1:9" x14ac:dyDescent="0.2">
      <c r="A57">
        <v>20250123</v>
      </c>
      <c r="B57" t="s">
        <v>7</v>
      </c>
      <c r="C57" t="s">
        <v>17</v>
      </c>
      <c r="D57">
        <v>3</v>
      </c>
      <c r="E57">
        <v>1</v>
      </c>
      <c r="F57">
        <v>0</v>
      </c>
      <c r="G57">
        <v>0</v>
      </c>
      <c r="H57" s="1">
        <f t="shared" si="0"/>
        <v>45680</v>
      </c>
      <c r="I57">
        <f t="shared" si="1"/>
        <v>4</v>
      </c>
    </row>
    <row r="58" spans="1:9" x14ac:dyDescent="0.2">
      <c r="A58">
        <v>20250123</v>
      </c>
      <c r="B58" t="s">
        <v>9</v>
      </c>
      <c r="C58" t="s">
        <v>15</v>
      </c>
      <c r="D58">
        <v>2</v>
      </c>
      <c r="E58">
        <v>1</v>
      </c>
      <c r="F58">
        <v>0</v>
      </c>
      <c r="G58">
        <v>0</v>
      </c>
      <c r="H58" s="1">
        <f t="shared" si="0"/>
        <v>45680</v>
      </c>
      <c r="I58">
        <f t="shared" si="1"/>
        <v>4</v>
      </c>
    </row>
    <row r="59" spans="1:9" x14ac:dyDescent="0.2">
      <c r="A59">
        <v>20250124</v>
      </c>
      <c r="B59" t="s">
        <v>30</v>
      </c>
      <c r="C59" t="s">
        <v>28</v>
      </c>
      <c r="D59">
        <v>1</v>
      </c>
      <c r="E59">
        <v>43</v>
      </c>
      <c r="F59">
        <v>0</v>
      </c>
      <c r="G59">
        <v>0</v>
      </c>
      <c r="H59" s="1">
        <f t="shared" si="0"/>
        <v>45681</v>
      </c>
      <c r="I59">
        <f t="shared" si="1"/>
        <v>4</v>
      </c>
    </row>
    <row r="60" spans="1:9" x14ac:dyDescent="0.2">
      <c r="A60">
        <v>20250125</v>
      </c>
      <c r="B60" t="s">
        <v>10</v>
      </c>
      <c r="C60" t="s">
        <v>8</v>
      </c>
      <c r="D60">
        <v>1</v>
      </c>
      <c r="E60">
        <v>32</v>
      </c>
      <c r="F60">
        <v>0</v>
      </c>
      <c r="G60">
        <v>0</v>
      </c>
      <c r="H60" s="1">
        <f t="shared" si="0"/>
        <v>45682</v>
      </c>
      <c r="I60">
        <f t="shared" si="1"/>
        <v>4</v>
      </c>
    </row>
    <row r="61" spans="1:9" x14ac:dyDescent="0.2">
      <c r="A61">
        <v>20250126</v>
      </c>
      <c r="B61" t="s">
        <v>7</v>
      </c>
      <c r="C61" t="s">
        <v>13</v>
      </c>
      <c r="D61">
        <v>8</v>
      </c>
      <c r="E61">
        <v>1</v>
      </c>
      <c r="F61">
        <v>0</v>
      </c>
      <c r="G61">
        <v>3</v>
      </c>
      <c r="H61" s="1">
        <f t="shared" si="0"/>
        <v>45683</v>
      </c>
      <c r="I61">
        <f t="shared" si="1"/>
        <v>5</v>
      </c>
    </row>
    <row r="62" spans="1:9" x14ac:dyDescent="0.2">
      <c r="A62">
        <v>20250126</v>
      </c>
      <c r="B62" t="s">
        <v>7</v>
      </c>
      <c r="C62" t="s">
        <v>8</v>
      </c>
      <c r="D62">
        <v>2</v>
      </c>
      <c r="E62">
        <v>16.5</v>
      </c>
      <c r="F62">
        <v>0</v>
      </c>
      <c r="G62">
        <v>0</v>
      </c>
      <c r="H62" s="1">
        <f t="shared" si="0"/>
        <v>45683</v>
      </c>
      <c r="I62">
        <f t="shared" si="1"/>
        <v>5</v>
      </c>
    </row>
    <row r="63" spans="1:9" x14ac:dyDescent="0.2">
      <c r="A63">
        <v>20250126</v>
      </c>
      <c r="B63" t="s">
        <v>9</v>
      </c>
      <c r="C63" t="s">
        <v>8</v>
      </c>
      <c r="D63">
        <v>2</v>
      </c>
      <c r="E63">
        <v>1</v>
      </c>
      <c r="F63">
        <v>0</v>
      </c>
      <c r="G63">
        <v>0</v>
      </c>
      <c r="H63" s="1">
        <f t="shared" si="0"/>
        <v>45683</v>
      </c>
      <c r="I63">
        <f t="shared" si="1"/>
        <v>5</v>
      </c>
    </row>
    <row r="64" spans="1:9" x14ac:dyDescent="0.2">
      <c r="A64">
        <v>20250126</v>
      </c>
      <c r="B64" t="s">
        <v>10</v>
      </c>
      <c r="C64" t="s">
        <v>22</v>
      </c>
      <c r="D64">
        <v>1</v>
      </c>
      <c r="E64">
        <v>14</v>
      </c>
      <c r="F64">
        <v>0</v>
      </c>
      <c r="G64">
        <v>0</v>
      </c>
      <c r="H64" s="1">
        <f t="shared" si="0"/>
        <v>45683</v>
      </c>
      <c r="I64">
        <f t="shared" si="1"/>
        <v>5</v>
      </c>
    </row>
    <row r="65" spans="1:9" x14ac:dyDescent="0.2">
      <c r="A65">
        <v>20250126</v>
      </c>
      <c r="B65" t="s">
        <v>10</v>
      </c>
      <c r="C65" t="s">
        <v>8</v>
      </c>
      <c r="D65">
        <v>1</v>
      </c>
      <c r="E65">
        <v>32</v>
      </c>
      <c r="F65">
        <v>0</v>
      </c>
      <c r="G65">
        <v>0</v>
      </c>
      <c r="H65" s="1">
        <f t="shared" si="0"/>
        <v>45683</v>
      </c>
      <c r="I65">
        <f t="shared" si="1"/>
        <v>5</v>
      </c>
    </row>
    <row r="66" spans="1:9" x14ac:dyDescent="0.2">
      <c r="A66">
        <v>20250127</v>
      </c>
      <c r="B66" t="s">
        <v>16</v>
      </c>
      <c r="C66" t="s">
        <v>17</v>
      </c>
      <c r="D66">
        <v>5</v>
      </c>
      <c r="E66">
        <v>36</v>
      </c>
      <c r="F66">
        <v>0</v>
      </c>
      <c r="G66">
        <v>0</v>
      </c>
      <c r="H66" s="1">
        <f t="shared" ref="H66:H129" si="2">DATE(LEFT(A66,4),MID(A66,5,2),RIGHT(A66,2))</f>
        <v>45684</v>
      </c>
      <c r="I66">
        <f t="shared" ref="I66:I129" si="3">WEEKNUM(H66)</f>
        <v>5</v>
      </c>
    </row>
    <row r="67" spans="1:9" x14ac:dyDescent="0.2">
      <c r="A67">
        <v>20250127</v>
      </c>
      <c r="B67" t="s">
        <v>9</v>
      </c>
      <c r="C67" t="s">
        <v>8</v>
      </c>
      <c r="D67">
        <v>2</v>
      </c>
      <c r="E67">
        <v>1</v>
      </c>
      <c r="F67">
        <v>0</v>
      </c>
      <c r="G67">
        <v>0</v>
      </c>
      <c r="H67" s="1">
        <f t="shared" si="2"/>
        <v>45684</v>
      </c>
      <c r="I67">
        <f t="shared" si="3"/>
        <v>5</v>
      </c>
    </row>
    <row r="68" spans="1:9" x14ac:dyDescent="0.2">
      <c r="A68">
        <v>20250129</v>
      </c>
      <c r="B68" t="s">
        <v>7</v>
      </c>
      <c r="C68" t="s">
        <v>8</v>
      </c>
      <c r="D68">
        <v>2</v>
      </c>
      <c r="E68">
        <v>1</v>
      </c>
      <c r="F68">
        <v>0</v>
      </c>
      <c r="G68">
        <v>1</v>
      </c>
      <c r="H68" s="1">
        <f t="shared" si="2"/>
        <v>45686</v>
      </c>
      <c r="I68">
        <f t="shared" si="3"/>
        <v>5</v>
      </c>
    </row>
    <row r="69" spans="1:9" x14ac:dyDescent="0.2">
      <c r="A69">
        <v>20250129</v>
      </c>
      <c r="B69" t="s">
        <v>10</v>
      </c>
      <c r="C69" t="s">
        <v>8</v>
      </c>
      <c r="D69">
        <v>1</v>
      </c>
      <c r="E69">
        <v>15</v>
      </c>
      <c r="F69">
        <v>0</v>
      </c>
      <c r="G69">
        <v>0</v>
      </c>
      <c r="H69" s="1">
        <f t="shared" si="2"/>
        <v>45686</v>
      </c>
      <c r="I69">
        <f t="shared" si="3"/>
        <v>5</v>
      </c>
    </row>
    <row r="70" spans="1:9" x14ac:dyDescent="0.2">
      <c r="A70">
        <v>20250130</v>
      </c>
      <c r="B70" t="s">
        <v>19</v>
      </c>
      <c r="C70" t="s">
        <v>8</v>
      </c>
      <c r="D70">
        <v>1</v>
      </c>
      <c r="E70">
        <v>15</v>
      </c>
      <c r="F70">
        <v>0</v>
      </c>
      <c r="G70">
        <v>0</v>
      </c>
      <c r="H70" s="1">
        <f t="shared" si="2"/>
        <v>45687</v>
      </c>
      <c r="I70">
        <f t="shared" si="3"/>
        <v>5</v>
      </c>
    </row>
    <row r="71" spans="1:9" x14ac:dyDescent="0.2">
      <c r="A71">
        <v>20250130</v>
      </c>
      <c r="B71" t="s">
        <v>16</v>
      </c>
      <c r="C71" t="s">
        <v>13</v>
      </c>
      <c r="D71">
        <v>2</v>
      </c>
      <c r="E71">
        <v>1</v>
      </c>
      <c r="F71">
        <v>0</v>
      </c>
      <c r="G71">
        <v>0</v>
      </c>
      <c r="H71" s="1">
        <f t="shared" si="2"/>
        <v>45687</v>
      </c>
      <c r="I71">
        <f t="shared" si="3"/>
        <v>5</v>
      </c>
    </row>
    <row r="72" spans="1:9" x14ac:dyDescent="0.2">
      <c r="A72">
        <v>20250130</v>
      </c>
      <c r="B72" t="s">
        <v>7</v>
      </c>
      <c r="C72" t="s">
        <v>8</v>
      </c>
      <c r="D72">
        <v>1</v>
      </c>
      <c r="E72">
        <v>1</v>
      </c>
      <c r="F72">
        <v>1</v>
      </c>
      <c r="G72">
        <v>1</v>
      </c>
      <c r="H72" s="1">
        <f t="shared" si="2"/>
        <v>45687</v>
      </c>
      <c r="I72">
        <f t="shared" si="3"/>
        <v>5</v>
      </c>
    </row>
    <row r="73" spans="1:9" x14ac:dyDescent="0.2">
      <c r="A73">
        <v>20250131</v>
      </c>
      <c r="B73" t="s">
        <v>12</v>
      </c>
      <c r="C73" t="s">
        <v>22</v>
      </c>
      <c r="D73">
        <v>1</v>
      </c>
      <c r="E73">
        <v>8</v>
      </c>
      <c r="F73">
        <v>0</v>
      </c>
      <c r="G73">
        <v>0</v>
      </c>
      <c r="H73" s="1">
        <f t="shared" si="2"/>
        <v>45688</v>
      </c>
      <c r="I73">
        <f t="shared" si="3"/>
        <v>5</v>
      </c>
    </row>
    <row r="74" spans="1:9" x14ac:dyDescent="0.2">
      <c r="A74">
        <v>20250131</v>
      </c>
      <c r="B74" t="s">
        <v>7</v>
      </c>
      <c r="C74" t="s">
        <v>17</v>
      </c>
      <c r="D74">
        <v>5</v>
      </c>
      <c r="E74">
        <v>1</v>
      </c>
      <c r="F74">
        <v>0</v>
      </c>
      <c r="G74">
        <v>7</v>
      </c>
      <c r="H74" s="1">
        <f t="shared" si="2"/>
        <v>45688</v>
      </c>
      <c r="I74">
        <f t="shared" si="3"/>
        <v>5</v>
      </c>
    </row>
    <row r="75" spans="1:9" x14ac:dyDescent="0.2">
      <c r="A75">
        <v>20250131</v>
      </c>
      <c r="B75" t="s">
        <v>7</v>
      </c>
      <c r="C75" t="s">
        <v>8</v>
      </c>
      <c r="D75">
        <v>3</v>
      </c>
      <c r="E75">
        <v>92</v>
      </c>
      <c r="F75">
        <v>0</v>
      </c>
      <c r="G75">
        <v>0</v>
      </c>
      <c r="H75" s="1">
        <f t="shared" si="2"/>
        <v>45688</v>
      </c>
      <c r="I75">
        <f t="shared" si="3"/>
        <v>5</v>
      </c>
    </row>
    <row r="76" spans="1:9" x14ac:dyDescent="0.2">
      <c r="A76">
        <v>20250131</v>
      </c>
      <c r="B76" t="s">
        <v>10</v>
      </c>
      <c r="C76" t="s">
        <v>8</v>
      </c>
      <c r="D76">
        <v>1</v>
      </c>
      <c r="E76">
        <v>40</v>
      </c>
      <c r="F76">
        <v>0</v>
      </c>
      <c r="G76">
        <v>0</v>
      </c>
      <c r="H76" s="1">
        <f t="shared" si="2"/>
        <v>45688</v>
      </c>
      <c r="I76">
        <f t="shared" si="3"/>
        <v>5</v>
      </c>
    </row>
    <row r="77" spans="1:9" x14ac:dyDescent="0.2">
      <c r="A77">
        <v>20250201</v>
      </c>
      <c r="B77" t="s">
        <v>19</v>
      </c>
      <c r="C77" t="s">
        <v>8</v>
      </c>
      <c r="D77">
        <v>1</v>
      </c>
      <c r="E77">
        <v>15</v>
      </c>
      <c r="F77">
        <v>0</v>
      </c>
      <c r="G77">
        <v>0</v>
      </c>
      <c r="H77" s="1">
        <f t="shared" si="2"/>
        <v>45689</v>
      </c>
      <c r="I77">
        <f t="shared" si="3"/>
        <v>5</v>
      </c>
    </row>
    <row r="78" spans="1:9" x14ac:dyDescent="0.2">
      <c r="A78">
        <v>20250201</v>
      </c>
      <c r="B78" t="s">
        <v>7</v>
      </c>
      <c r="C78" t="s">
        <v>8</v>
      </c>
      <c r="D78">
        <v>13</v>
      </c>
      <c r="E78">
        <v>45.230769230769198</v>
      </c>
      <c r="F78">
        <v>0</v>
      </c>
      <c r="G78">
        <v>0</v>
      </c>
      <c r="H78" s="1">
        <f t="shared" si="2"/>
        <v>45689</v>
      </c>
      <c r="I78">
        <f t="shared" si="3"/>
        <v>5</v>
      </c>
    </row>
    <row r="79" spans="1:9" x14ac:dyDescent="0.2">
      <c r="A79">
        <v>20250201</v>
      </c>
      <c r="B79" t="s">
        <v>10</v>
      </c>
      <c r="C79" t="s">
        <v>8</v>
      </c>
      <c r="D79">
        <v>1</v>
      </c>
      <c r="E79">
        <v>2</v>
      </c>
      <c r="F79">
        <v>0</v>
      </c>
      <c r="G79">
        <v>0</v>
      </c>
      <c r="H79" s="1">
        <f t="shared" si="2"/>
        <v>45689</v>
      </c>
      <c r="I79">
        <f t="shared" si="3"/>
        <v>5</v>
      </c>
    </row>
    <row r="80" spans="1:9" x14ac:dyDescent="0.2">
      <c r="A80">
        <v>20250201</v>
      </c>
      <c r="B80" t="s">
        <v>10</v>
      </c>
      <c r="C80" t="s">
        <v>24</v>
      </c>
      <c r="D80">
        <v>1</v>
      </c>
      <c r="E80">
        <v>25</v>
      </c>
      <c r="F80">
        <v>0</v>
      </c>
      <c r="G80">
        <v>0</v>
      </c>
      <c r="H80" s="1">
        <f t="shared" si="2"/>
        <v>45689</v>
      </c>
      <c r="I80">
        <f t="shared" si="3"/>
        <v>5</v>
      </c>
    </row>
    <row r="81" spans="1:9" x14ac:dyDescent="0.2">
      <c r="A81">
        <v>20250202</v>
      </c>
      <c r="B81" t="s">
        <v>16</v>
      </c>
      <c r="C81" t="s">
        <v>15</v>
      </c>
      <c r="D81">
        <v>1</v>
      </c>
      <c r="E81">
        <v>2</v>
      </c>
      <c r="F81">
        <v>0</v>
      </c>
      <c r="G81">
        <v>0</v>
      </c>
      <c r="H81" s="1">
        <f t="shared" si="2"/>
        <v>45690</v>
      </c>
      <c r="I81">
        <f t="shared" si="3"/>
        <v>6</v>
      </c>
    </row>
    <row r="82" spans="1:9" x14ac:dyDescent="0.2">
      <c r="A82">
        <v>20250202</v>
      </c>
      <c r="B82" t="s">
        <v>16</v>
      </c>
      <c r="C82" t="s">
        <v>8</v>
      </c>
      <c r="D82">
        <v>1</v>
      </c>
      <c r="E82">
        <v>32</v>
      </c>
      <c r="F82">
        <v>0</v>
      </c>
      <c r="G82">
        <v>0</v>
      </c>
      <c r="H82" s="1">
        <f t="shared" si="2"/>
        <v>45690</v>
      </c>
      <c r="I82">
        <f t="shared" si="3"/>
        <v>6</v>
      </c>
    </row>
    <row r="83" spans="1:9" x14ac:dyDescent="0.2">
      <c r="A83">
        <v>20250202</v>
      </c>
      <c r="B83" t="s">
        <v>7</v>
      </c>
      <c r="C83" t="s">
        <v>8</v>
      </c>
      <c r="D83">
        <v>2</v>
      </c>
      <c r="E83">
        <v>23.5</v>
      </c>
      <c r="F83">
        <v>0</v>
      </c>
      <c r="G83">
        <v>0</v>
      </c>
      <c r="H83" s="1">
        <f t="shared" si="2"/>
        <v>45690</v>
      </c>
      <c r="I83">
        <f t="shared" si="3"/>
        <v>6</v>
      </c>
    </row>
    <row r="84" spans="1:9" x14ac:dyDescent="0.2">
      <c r="A84">
        <v>20250203</v>
      </c>
      <c r="B84" t="s">
        <v>12</v>
      </c>
      <c r="C84" t="s">
        <v>8</v>
      </c>
      <c r="D84">
        <v>1</v>
      </c>
      <c r="E84">
        <v>1</v>
      </c>
      <c r="F84">
        <v>0</v>
      </c>
      <c r="G84">
        <v>0</v>
      </c>
      <c r="H84" s="1">
        <f t="shared" si="2"/>
        <v>45691</v>
      </c>
      <c r="I84">
        <f t="shared" si="3"/>
        <v>6</v>
      </c>
    </row>
    <row r="85" spans="1:9" x14ac:dyDescent="0.2">
      <c r="A85">
        <v>20250203</v>
      </c>
      <c r="B85" t="s">
        <v>7</v>
      </c>
      <c r="C85" t="s">
        <v>8</v>
      </c>
      <c r="D85">
        <v>3</v>
      </c>
      <c r="E85">
        <v>17</v>
      </c>
      <c r="F85">
        <v>0</v>
      </c>
      <c r="G85">
        <v>0</v>
      </c>
      <c r="H85" s="1">
        <f t="shared" si="2"/>
        <v>45691</v>
      </c>
      <c r="I85">
        <f t="shared" si="3"/>
        <v>6</v>
      </c>
    </row>
    <row r="86" spans="1:9" x14ac:dyDescent="0.2">
      <c r="A86">
        <v>20250204</v>
      </c>
      <c r="B86" t="s">
        <v>19</v>
      </c>
      <c r="C86" t="s">
        <v>8</v>
      </c>
      <c r="D86">
        <v>1</v>
      </c>
      <c r="E86">
        <v>21</v>
      </c>
      <c r="F86">
        <v>0</v>
      </c>
      <c r="G86">
        <v>0</v>
      </c>
      <c r="H86" s="1">
        <f t="shared" si="2"/>
        <v>45692</v>
      </c>
      <c r="I86">
        <f t="shared" si="3"/>
        <v>6</v>
      </c>
    </row>
    <row r="87" spans="1:9" x14ac:dyDescent="0.2">
      <c r="A87">
        <v>20250204</v>
      </c>
      <c r="B87" t="s">
        <v>7</v>
      </c>
      <c r="C87" t="s">
        <v>8</v>
      </c>
      <c r="D87">
        <v>7</v>
      </c>
      <c r="E87">
        <v>81.428571428571402</v>
      </c>
      <c r="F87">
        <v>0</v>
      </c>
      <c r="G87">
        <v>0</v>
      </c>
      <c r="H87" s="1">
        <f t="shared" si="2"/>
        <v>45692</v>
      </c>
      <c r="I87">
        <f t="shared" si="3"/>
        <v>6</v>
      </c>
    </row>
    <row r="88" spans="1:9" x14ac:dyDescent="0.2">
      <c r="A88">
        <v>20250204</v>
      </c>
      <c r="B88" t="s">
        <v>9</v>
      </c>
      <c r="C88" t="s">
        <v>8</v>
      </c>
      <c r="D88">
        <v>3</v>
      </c>
      <c r="E88">
        <v>64.6666666666666</v>
      </c>
      <c r="F88">
        <v>0</v>
      </c>
      <c r="G88">
        <v>0</v>
      </c>
      <c r="H88" s="1">
        <f t="shared" si="2"/>
        <v>45692</v>
      </c>
      <c r="I88">
        <f t="shared" si="3"/>
        <v>6</v>
      </c>
    </row>
    <row r="89" spans="1:9" x14ac:dyDescent="0.2">
      <c r="A89">
        <v>20250205</v>
      </c>
      <c r="B89" t="s">
        <v>7</v>
      </c>
      <c r="C89" t="s">
        <v>8</v>
      </c>
      <c r="D89">
        <v>3</v>
      </c>
      <c r="E89">
        <v>58</v>
      </c>
      <c r="F89">
        <v>0</v>
      </c>
      <c r="G89">
        <v>0</v>
      </c>
      <c r="H89" s="1">
        <f t="shared" si="2"/>
        <v>45693</v>
      </c>
      <c r="I89">
        <f t="shared" si="3"/>
        <v>6</v>
      </c>
    </row>
    <row r="90" spans="1:9" x14ac:dyDescent="0.2">
      <c r="A90">
        <v>20250205</v>
      </c>
      <c r="B90" t="s">
        <v>7</v>
      </c>
      <c r="C90" t="s">
        <v>28</v>
      </c>
      <c r="D90">
        <v>2</v>
      </c>
      <c r="E90">
        <v>1</v>
      </c>
      <c r="F90">
        <v>0</v>
      </c>
      <c r="G90">
        <v>3</v>
      </c>
      <c r="H90" s="1">
        <f t="shared" si="2"/>
        <v>45693</v>
      </c>
      <c r="I90">
        <f t="shared" si="3"/>
        <v>6</v>
      </c>
    </row>
    <row r="91" spans="1:9" x14ac:dyDescent="0.2">
      <c r="A91">
        <v>20250205</v>
      </c>
      <c r="B91" t="s">
        <v>9</v>
      </c>
      <c r="C91" t="s">
        <v>24</v>
      </c>
      <c r="D91">
        <v>1</v>
      </c>
      <c r="E91">
        <v>28</v>
      </c>
      <c r="F91">
        <v>0</v>
      </c>
      <c r="G91">
        <v>0</v>
      </c>
      <c r="H91" s="1">
        <f t="shared" si="2"/>
        <v>45693</v>
      </c>
      <c r="I91">
        <f t="shared" si="3"/>
        <v>6</v>
      </c>
    </row>
    <row r="92" spans="1:9" x14ac:dyDescent="0.2">
      <c r="A92">
        <v>20250206</v>
      </c>
      <c r="B92" t="s">
        <v>7</v>
      </c>
      <c r="C92" t="s">
        <v>8</v>
      </c>
      <c r="D92">
        <v>2</v>
      </c>
      <c r="E92">
        <v>14.5</v>
      </c>
      <c r="F92">
        <v>0</v>
      </c>
      <c r="G92">
        <v>0</v>
      </c>
      <c r="H92" s="1">
        <f t="shared" si="2"/>
        <v>45694</v>
      </c>
      <c r="I92">
        <f t="shared" si="3"/>
        <v>6</v>
      </c>
    </row>
    <row r="93" spans="1:9" x14ac:dyDescent="0.2">
      <c r="A93">
        <v>20250206</v>
      </c>
      <c r="B93" t="s">
        <v>7</v>
      </c>
      <c r="C93" t="s">
        <v>22</v>
      </c>
      <c r="D93">
        <v>1</v>
      </c>
      <c r="E93">
        <v>48</v>
      </c>
      <c r="F93">
        <v>0</v>
      </c>
      <c r="G93">
        <v>0</v>
      </c>
      <c r="H93" s="1">
        <f t="shared" si="2"/>
        <v>45694</v>
      </c>
      <c r="I93">
        <f t="shared" si="3"/>
        <v>6</v>
      </c>
    </row>
    <row r="94" spans="1:9" x14ac:dyDescent="0.2">
      <c r="A94">
        <v>20250206</v>
      </c>
      <c r="B94" t="s">
        <v>9</v>
      </c>
      <c r="C94" t="s">
        <v>13</v>
      </c>
      <c r="D94">
        <v>2</v>
      </c>
      <c r="E94">
        <v>1</v>
      </c>
      <c r="F94">
        <v>0</v>
      </c>
      <c r="G94">
        <v>0</v>
      </c>
      <c r="H94" s="1">
        <f t="shared" si="2"/>
        <v>45694</v>
      </c>
      <c r="I94">
        <f t="shared" si="3"/>
        <v>6</v>
      </c>
    </row>
    <row r="95" spans="1:9" x14ac:dyDescent="0.2">
      <c r="A95">
        <v>20250206</v>
      </c>
      <c r="B95" t="s">
        <v>10</v>
      </c>
      <c r="C95" t="s">
        <v>8</v>
      </c>
      <c r="D95">
        <v>1</v>
      </c>
      <c r="E95">
        <v>15</v>
      </c>
      <c r="F95">
        <v>0</v>
      </c>
      <c r="G95">
        <v>0</v>
      </c>
      <c r="H95" s="1">
        <f t="shared" si="2"/>
        <v>45694</v>
      </c>
      <c r="I95">
        <f t="shared" si="3"/>
        <v>6</v>
      </c>
    </row>
    <row r="96" spans="1:9" x14ac:dyDescent="0.2">
      <c r="A96">
        <v>20250207</v>
      </c>
      <c r="B96" t="s">
        <v>7</v>
      </c>
      <c r="C96" t="s">
        <v>8</v>
      </c>
      <c r="D96">
        <v>2</v>
      </c>
      <c r="E96">
        <v>20.5</v>
      </c>
      <c r="F96">
        <v>0</v>
      </c>
      <c r="G96">
        <v>0</v>
      </c>
      <c r="H96" s="1">
        <f t="shared" si="2"/>
        <v>45695</v>
      </c>
      <c r="I96">
        <f t="shared" si="3"/>
        <v>6</v>
      </c>
    </row>
    <row r="97" spans="1:9" x14ac:dyDescent="0.2">
      <c r="A97">
        <v>20250208</v>
      </c>
      <c r="B97" t="s">
        <v>7</v>
      </c>
      <c r="C97" t="s">
        <v>8</v>
      </c>
      <c r="D97">
        <v>9</v>
      </c>
      <c r="E97">
        <v>74</v>
      </c>
      <c r="F97">
        <v>0</v>
      </c>
      <c r="G97">
        <v>1</v>
      </c>
      <c r="H97" s="1">
        <f t="shared" si="2"/>
        <v>45696</v>
      </c>
      <c r="I97">
        <f t="shared" si="3"/>
        <v>6</v>
      </c>
    </row>
    <row r="98" spans="1:9" x14ac:dyDescent="0.2">
      <c r="A98">
        <v>20250208</v>
      </c>
      <c r="B98" t="s">
        <v>7</v>
      </c>
      <c r="C98" t="s">
        <v>17</v>
      </c>
      <c r="D98">
        <v>1</v>
      </c>
      <c r="E98">
        <v>45</v>
      </c>
      <c r="F98">
        <v>0</v>
      </c>
      <c r="G98">
        <v>0</v>
      </c>
      <c r="H98" s="1">
        <f t="shared" si="2"/>
        <v>45696</v>
      </c>
      <c r="I98">
        <f t="shared" si="3"/>
        <v>6</v>
      </c>
    </row>
    <row r="99" spans="1:9" x14ac:dyDescent="0.2">
      <c r="A99">
        <v>20250209</v>
      </c>
      <c r="B99" t="s">
        <v>7</v>
      </c>
      <c r="C99" t="s">
        <v>8</v>
      </c>
      <c r="D99">
        <v>20</v>
      </c>
      <c r="E99">
        <v>60.5</v>
      </c>
      <c r="F99">
        <v>0</v>
      </c>
      <c r="G99">
        <v>0</v>
      </c>
      <c r="H99" s="1">
        <f t="shared" si="2"/>
        <v>45697</v>
      </c>
      <c r="I99">
        <f t="shared" si="3"/>
        <v>7</v>
      </c>
    </row>
    <row r="100" spans="1:9" x14ac:dyDescent="0.2">
      <c r="A100">
        <v>20250210</v>
      </c>
      <c r="B100" t="s">
        <v>7</v>
      </c>
      <c r="C100" t="s">
        <v>8</v>
      </c>
      <c r="D100">
        <v>34</v>
      </c>
      <c r="E100">
        <v>73.588235294117595</v>
      </c>
      <c r="F100">
        <v>0</v>
      </c>
      <c r="G100">
        <v>3</v>
      </c>
      <c r="H100" s="1">
        <f t="shared" si="2"/>
        <v>45698</v>
      </c>
      <c r="I100">
        <f t="shared" si="3"/>
        <v>7</v>
      </c>
    </row>
    <row r="101" spans="1:9" x14ac:dyDescent="0.2">
      <c r="A101">
        <v>20250210</v>
      </c>
      <c r="B101" t="s">
        <v>9</v>
      </c>
      <c r="C101" t="s">
        <v>8</v>
      </c>
      <c r="D101">
        <v>1</v>
      </c>
      <c r="E101">
        <v>40</v>
      </c>
      <c r="F101">
        <v>0</v>
      </c>
      <c r="G101">
        <v>0</v>
      </c>
      <c r="H101" s="1">
        <f t="shared" si="2"/>
        <v>45698</v>
      </c>
      <c r="I101">
        <f t="shared" si="3"/>
        <v>7</v>
      </c>
    </row>
    <row r="102" spans="1:9" x14ac:dyDescent="0.2">
      <c r="A102">
        <v>20250210</v>
      </c>
      <c r="B102" t="s">
        <v>10</v>
      </c>
      <c r="C102" t="s">
        <v>8</v>
      </c>
      <c r="D102">
        <v>1</v>
      </c>
      <c r="E102">
        <v>10</v>
      </c>
      <c r="F102">
        <v>0</v>
      </c>
      <c r="G102">
        <v>0</v>
      </c>
      <c r="H102" s="1">
        <f t="shared" si="2"/>
        <v>45698</v>
      </c>
      <c r="I102">
        <f t="shared" si="3"/>
        <v>7</v>
      </c>
    </row>
    <row r="103" spans="1:9" x14ac:dyDescent="0.2">
      <c r="A103">
        <v>20250211</v>
      </c>
      <c r="B103" t="s">
        <v>7</v>
      </c>
      <c r="C103" t="s">
        <v>8</v>
      </c>
      <c r="D103">
        <v>40</v>
      </c>
      <c r="E103">
        <v>56.7</v>
      </c>
      <c r="F103">
        <v>0</v>
      </c>
      <c r="G103">
        <v>0</v>
      </c>
      <c r="H103" s="1">
        <f t="shared" si="2"/>
        <v>45699</v>
      </c>
      <c r="I103">
        <f t="shared" si="3"/>
        <v>7</v>
      </c>
    </row>
    <row r="104" spans="1:9" x14ac:dyDescent="0.2">
      <c r="A104">
        <v>20250212</v>
      </c>
      <c r="B104" t="s">
        <v>7</v>
      </c>
      <c r="C104" t="s">
        <v>8</v>
      </c>
      <c r="D104">
        <v>30</v>
      </c>
      <c r="E104">
        <v>64.133333333333297</v>
      </c>
      <c r="F104">
        <v>0</v>
      </c>
      <c r="G104">
        <v>3</v>
      </c>
      <c r="H104" s="1">
        <f t="shared" si="2"/>
        <v>45700</v>
      </c>
      <c r="I104">
        <f t="shared" si="3"/>
        <v>7</v>
      </c>
    </row>
    <row r="105" spans="1:9" x14ac:dyDescent="0.2">
      <c r="A105">
        <v>20250213</v>
      </c>
      <c r="B105" t="s">
        <v>12</v>
      </c>
      <c r="C105" t="s">
        <v>8</v>
      </c>
      <c r="D105">
        <v>2</v>
      </c>
      <c r="E105">
        <v>1</v>
      </c>
      <c r="F105">
        <v>0</v>
      </c>
      <c r="G105">
        <v>0</v>
      </c>
      <c r="H105" s="1">
        <f t="shared" si="2"/>
        <v>45701</v>
      </c>
      <c r="I105">
        <f t="shared" si="3"/>
        <v>7</v>
      </c>
    </row>
    <row r="106" spans="1:9" x14ac:dyDescent="0.2">
      <c r="A106">
        <v>20250213</v>
      </c>
      <c r="B106" t="s">
        <v>7</v>
      </c>
      <c r="C106" t="s">
        <v>8</v>
      </c>
      <c r="D106">
        <v>24</v>
      </c>
      <c r="E106">
        <v>65.875</v>
      </c>
      <c r="F106">
        <v>0</v>
      </c>
      <c r="G106">
        <v>0</v>
      </c>
      <c r="H106" s="1">
        <f t="shared" si="2"/>
        <v>45701</v>
      </c>
      <c r="I106">
        <f t="shared" si="3"/>
        <v>7</v>
      </c>
    </row>
    <row r="107" spans="1:9" x14ac:dyDescent="0.2">
      <c r="A107">
        <v>20250213</v>
      </c>
      <c r="B107" t="s">
        <v>9</v>
      </c>
      <c r="C107" t="s">
        <v>8</v>
      </c>
      <c r="D107">
        <v>2</v>
      </c>
      <c r="E107">
        <v>2</v>
      </c>
      <c r="F107">
        <v>0</v>
      </c>
      <c r="G107">
        <v>0</v>
      </c>
      <c r="H107" s="1">
        <f t="shared" si="2"/>
        <v>45701</v>
      </c>
      <c r="I107">
        <f t="shared" si="3"/>
        <v>7</v>
      </c>
    </row>
    <row r="108" spans="1:9" x14ac:dyDescent="0.2">
      <c r="A108">
        <v>20250213</v>
      </c>
      <c r="B108" t="s">
        <v>10</v>
      </c>
      <c r="C108" t="s">
        <v>8</v>
      </c>
      <c r="D108">
        <v>1</v>
      </c>
      <c r="E108">
        <v>2</v>
      </c>
      <c r="F108">
        <v>0</v>
      </c>
      <c r="G108">
        <v>2</v>
      </c>
      <c r="H108" s="1">
        <f t="shared" si="2"/>
        <v>45701</v>
      </c>
      <c r="I108">
        <f t="shared" si="3"/>
        <v>7</v>
      </c>
    </row>
    <row r="109" spans="1:9" x14ac:dyDescent="0.2">
      <c r="A109">
        <v>20250214</v>
      </c>
      <c r="B109" t="s">
        <v>7</v>
      </c>
      <c r="C109" t="s">
        <v>8</v>
      </c>
      <c r="D109">
        <v>23</v>
      </c>
      <c r="E109">
        <v>45.565217391304301</v>
      </c>
      <c r="F109">
        <v>0</v>
      </c>
      <c r="G109">
        <v>0</v>
      </c>
      <c r="H109" s="1">
        <f t="shared" si="2"/>
        <v>45702</v>
      </c>
      <c r="I109">
        <f t="shared" si="3"/>
        <v>7</v>
      </c>
    </row>
    <row r="110" spans="1:9" x14ac:dyDescent="0.2">
      <c r="A110">
        <v>20250214</v>
      </c>
      <c r="B110" t="s">
        <v>9</v>
      </c>
      <c r="C110" t="s">
        <v>8</v>
      </c>
      <c r="D110">
        <v>1</v>
      </c>
      <c r="E110">
        <v>42</v>
      </c>
      <c r="F110">
        <v>0</v>
      </c>
      <c r="G110">
        <v>0</v>
      </c>
      <c r="H110" s="1">
        <f t="shared" si="2"/>
        <v>45702</v>
      </c>
      <c r="I110">
        <f t="shared" si="3"/>
        <v>7</v>
      </c>
    </row>
    <row r="111" spans="1:9" x14ac:dyDescent="0.2">
      <c r="A111">
        <v>20250215</v>
      </c>
      <c r="B111" t="s">
        <v>7</v>
      </c>
      <c r="C111" t="s">
        <v>8</v>
      </c>
      <c r="D111">
        <v>25</v>
      </c>
      <c r="E111">
        <v>41.64</v>
      </c>
      <c r="F111">
        <v>0</v>
      </c>
      <c r="G111">
        <v>0</v>
      </c>
      <c r="H111" s="1">
        <f t="shared" si="2"/>
        <v>45703</v>
      </c>
      <c r="I111">
        <f t="shared" si="3"/>
        <v>7</v>
      </c>
    </row>
    <row r="112" spans="1:9" x14ac:dyDescent="0.2">
      <c r="A112">
        <v>20250215</v>
      </c>
      <c r="B112" t="s">
        <v>10</v>
      </c>
      <c r="C112" t="s">
        <v>24</v>
      </c>
      <c r="D112">
        <v>3</v>
      </c>
      <c r="E112">
        <v>14.3333333333333</v>
      </c>
      <c r="F112">
        <v>0</v>
      </c>
      <c r="G112">
        <v>0</v>
      </c>
      <c r="H112" s="1">
        <f t="shared" si="2"/>
        <v>45703</v>
      </c>
      <c r="I112">
        <f t="shared" si="3"/>
        <v>7</v>
      </c>
    </row>
    <row r="113" spans="1:9" x14ac:dyDescent="0.2">
      <c r="A113">
        <v>20250215</v>
      </c>
      <c r="B113" t="s">
        <v>10</v>
      </c>
      <c r="C113" t="s">
        <v>8</v>
      </c>
      <c r="D113">
        <v>1</v>
      </c>
      <c r="E113">
        <v>15</v>
      </c>
      <c r="F113">
        <v>0</v>
      </c>
      <c r="G113">
        <v>0</v>
      </c>
      <c r="H113" s="1">
        <f t="shared" si="2"/>
        <v>45703</v>
      </c>
      <c r="I113">
        <f t="shared" si="3"/>
        <v>7</v>
      </c>
    </row>
    <row r="114" spans="1:9" x14ac:dyDescent="0.2">
      <c r="A114">
        <v>20250216</v>
      </c>
      <c r="B114" t="s">
        <v>16</v>
      </c>
      <c r="C114" t="s">
        <v>8</v>
      </c>
      <c r="D114">
        <v>2</v>
      </c>
      <c r="E114">
        <v>74</v>
      </c>
      <c r="F114">
        <v>0</v>
      </c>
      <c r="G114">
        <v>0</v>
      </c>
      <c r="H114" s="1">
        <f t="shared" si="2"/>
        <v>45704</v>
      </c>
      <c r="I114">
        <f t="shared" si="3"/>
        <v>8</v>
      </c>
    </row>
    <row r="115" spans="1:9" x14ac:dyDescent="0.2">
      <c r="A115">
        <v>20250216</v>
      </c>
      <c r="B115" t="s">
        <v>7</v>
      </c>
      <c r="C115" t="s">
        <v>8</v>
      </c>
      <c r="D115">
        <v>17</v>
      </c>
      <c r="E115">
        <v>59.764705882352899</v>
      </c>
      <c r="F115">
        <v>0</v>
      </c>
      <c r="G115">
        <v>0</v>
      </c>
      <c r="H115" s="1">
        <f t="shared" si="2"/>
        <v>45704</v>
      </c>
      <c r="I115">
        <f t="shared" si="3"/>
        <v>8</v>
      </c>
    </row>
    <row r="116" spans="1:9" x14ac:dyDescent="0.2">
      <c r="A116">
        <v>20250216</v>
      </c>
      <c r="B116" t="s">
        <v>7</v>
      </c>
      <c r="C116" t="s">
        <v>17</v>
      </c>
      <c r="D116">
        <v>1</v>
      </c>
      <c r="E116">
        <v>38</v>
      </c>
      <c r="F116">
        <v>0</v>
      </c>
      <c r="G116">
        <v>0</v>
      </c>
      <c r="H116" s="1">
        <f t="shared" si="2"/>
        <v>45704</v>
      </c>
      <c r="I116">
        <f t="shared" si="3"/>
        <v>8</v>
      </c>
    </row>
    <row r="117" spans="1:9" x14ac:dyDescent="0.2">
      <c r="A117">
        <v>20250216</v>
      </c>
      <c r="B117" t="s">
        <v>23</v>
      </c>
      <c r="C117" t="s">
        <v>8</v>
      </c>
      <c r="D117">
        <v>1</v>
      </c>
      <c r="E117">
        <v>1</v>
      </c>
      <c r="F117">
        <v>0</v>
      </c>
      <c r="G117">
        <v>0</v>
      </c>
      <c r="H117" s="1">
        <f t="shared" si="2"/>
        <v>45704</v>
      </c>
      <c r="I117">
        <f t="shared" si="3"/>
        <v>8</v>
      </c>
    </row>
    <row r="118" spans="1:9" x14ac:dyDescent="0.2">
      <c r="A118">
        <v>20250216</v>
      </c>
      <c r="B118" t="s">
        <v>10</v>
      </c>
      <c r="C118" t="s">
        <v>8</v>
      </c>
      <c r="D118">
        <v>1</v>
      </c>
      <c r="E118">
        <v>32</v>
      </c>
      <c r="F118">
        <v>0</v>
      </c>
      <c r="G118">
        <v>0</v>
      </c>
      <c r="H118" s="1">
        <f t="shared" si="2"/>
        <v>45704</v>
      </c>
      <c r="I118">
        <f t="shared" si="3"/>
        <v>8</v>
      </c>
    </row>
    <row r="119" spans="1:9" x14ac:dyDescent="0.2">
      <c r="A119">
        <v>20250217</v>
      </c>
      <c r="B119" t="s">
        <v>7</v>
      </c>
      <c r="C119" t="s">
        <v>8</v>
      </c>
      <c r="D119">
        <v>20</v>
      </c>
      <c r="E119">
        <v>70.400000000000006</v>
      </c>
      <c r="F119">
        <v>0</v>
      </c>
      <c r="G119">
        <v>0</v>
      </c>
      <c r="H119" s="1">
        <f t="shared" si="2"/>
        <v>45705</v>
      </c>
      <c r="I119">
        <f t="shared" si="3"/>
        <v>8</v>
      </c>
    </row>
    <row r="120" spans="1:9" x14ac:dyDescent="0.2">
      <c r="A120">
        <v>20250218</v>
      </c>
      <c r="B120" t="s">
        <v>7</v>
      </c>
      <c r="C120" t="s">
        <v>8</v>
      </c>
      <c r="D120">
        <v>17</v>
      </c>
      <c r="E120">
        <v>70</v>
      </c>
      <c r="F120">
        <v>0</v>
      </c>
      <c r="G120">
        <v>0</v>
      </c>
      <c r="H120" s="1">
        <f t="shared" si="2"/>
        <v>45706</v>
      </c>
      <c r="I120">
        <f t="shared" si="3"/>
        <v>8</v>
      </c>
    </row>
    <row r="121" spans="1:9" x14ac:dyDescent="0.2">
      <c r="A121">
        <v>20250218</v>
      </c>
      <c r="B121" t="s">
        <v>10</v>
      </c>
      <c r="C121" t="s">
        <v>8</v>
      </c>
      <c r="D121">
        <v>1</v>
      </c>
      <c r="E121">
        <v>47</v>
      </c>
      <c r="F121">
        <v>0</v>
      </c>
      <c r="G121">
        <v>0</v>
      </c>
      <c r="H121" s="1">
        <f t="shared" si="2"/>
        <v>45706</v>
      </c>
      <c r="I121">
        <f t="shared" si="3"/>
        <v>8</v>
      </c>
    </row>
    <row r="122" spans="1:9" x14ac:dyDescent="0.2">
      <c r="A122">
        <v>20250219</v>
      </c>
      <c r="B122" t="s">
        <v>7</v>
      </c>
      <c r="C122" t="s">
        <v>8</v>
      </c>
      <c r="D122">
        <v>23</v>
      </c>
      <c r="E122">
        <v>58.521739130434703</v>
      </c>
      <c r="F122">
        <v>0</v>
      </c>
      <c r="G122">
        <v>0</v>
      </c>
      <c r="H122" s="1">
        <f t="shared" si="2"/>
        <v>45707</v>
      </c>
      <c r="I122">
        <f t="shared" si="3"/>
        <v>8</v>
      </c>
    </row>
    <row r="123" spans="1:9" x14ac:dyDescent="0.2">
      <c r="A123">
        <v>20250219</v>
      </c>
      <c r="B123" t="s">
        <v>10</v>
      </c>
      <c r="C123" t="s">
        <v>8</v>
      </c>
      <c r="D123">
        <v>2</v>
      </c>
      <c r="E123">
        <v>18.5</v>
      </c>
      <c r="F123">
        <v>0</v>
      </c>
      <c r="G123">
        <v>0</v>
      </c>
      <c r="H123" s="1">
        <f t="shared" si="2"/>
        <v>45707</v>
      </c>
      <c r="I123">
        <f t="shared" si="3"/>
        <v>8</v>
      </c>
    </row>
    <row r="124" spans="1:9" x14ac:dyDescent="0.2">
      <c r="A124">
        <v>20250219</v>
      </c>
      <c r="B124" t="s">
        <v>10</v>
      </c>
      <c r="C124" t="s">
        <v>24</v>
      </c>
      <c r="D124">
        <v>1</v>
      </c>
      <c r="E124">
        <v>31</v>
      </c>
      <c r="F124">
        <v>0</v>
      </c>
      <c r="G124">
        <v>0</v>
      </c>
      <c r="H124" s="1">
        <f t="shared" si="2"/>
        <v>45707</v>
      </c>
      <c r="I124">
        <f t="shared" si="3"/>
        <v>8</v>
      </c>
    </row>
    <row r="125" spans="1:9" x14ac:dyDescent="0.2">
      <c r="A125">
        <v>20250220</v>
      </c>
      <c r="B125" t="s">
        <v>7</v>
      </c>
      <c r="C125" t="s">
        <v>8</v>
      </c>
      <c r="D125">
        <v>19</v>
      </c>
      <c r="E125">
        <v>60.684210526315702</v>
      </c>
      <c r="F125">
        <v>0</v>
      </c>
      <c r="G125">
        <v>0</v>
      </c>
      <c r="H125" s="1">
        <f t="shared" si="2"/>
        <v>45708</v>
      </c>
      <c r="I125">
        <f t="shared" si="3"/>
        <v>8</v>
      </c>
    </row>
    <row r="126" spans="1:9" x14ac:dyDescent="0.2">
      <c r="A126">
        <v>20250220</v>
      </c>
      <c r="B126" t="s">
        <v>7</v>
      </c>
      <c r="C126" t="s">
        <v>17</v>
      </c>
      <c r="D126">
        <v>1</v>
      </c>
      <c r="E126">
        <v>25</v>
      </c>
      <c r="F126">
        <v>0</v>
      </c>
      <c r="G126">
        <v>0</v>
      </c>
      <c r="H126" s="1">
        <f t="shared" si="2"/>
        <v>45708</v>
      </c>
      <c r="I126">
        <f t="shared" si="3"/>
        <v>8</v>
      </c>
    </row>
    <row r="127" spans="1:9" x14ac:dyDescent="0.2">
      <c r="A127">
        <v>20250220</v>
      </c>
      <c r="B127" t="s">
        <v>23</v>
      </c>
      <c r="C127" t="s">
        <v>13</v>
      </c>
      <c r="D127">
        <v>1</v>
      </c>
      <c r="E127">
        <v>1</v>
      </c>
      <c r="F127">
        <v>0</v>
      </c>
      <c r="G127">
        <v>2</v>
      </c>
      <c r="H127" s="1">
        <f t="shared" si="2"/>
        <v>45708</v>
      </c>
      <c r="I127">
        <f t="shared" si="3"/>
        <v>8</v>
      </c>
    </row>
    <row r="128" spans="1:9" x14ac:dyDescent="0.2">
      <c r="A128">
        <v>20250220</v>
      </c>
      <c r="B128" t="s">
        <v>14</v>
      </c>
      <c r="C128" t="s">
        <v>8</v>
      </c>
      <c r="D128">
        <v>1</v>
      </c>
      <c r="E128">
        <v>36</v>
      </c>
      <c r="F128">
        <v>0</v>
      </c>
      <c r="G128">
        <v>0</v>
      </c>
      <c r="H128" s="1">
        <f t="shared" si="2"/>
        <v>45708</v>
      </c>
      <c r="I128">
        <f t="shared" si="3"/>
        <v>8</v>
      </c>
    </row>
    <row r="129" spans="1:9" x14ac:dyDescent="0.2">
      <c r="A129">
        <v>20250220</v>
      </c>
      <c r="B129" t="s">
        <v>10</v>
      </c>
      <c r="C129" t="s">
        <v>13</v>
      </c>
      <c r="D129">
        <v>1</v>
      </c>
      <c r="E129">
        <v>1</v>
      </c>
      <c r="F129">
        <v>0</v>
      </c>
      <c r="G129">
        <v>0</v>
      </c>
      <c r="H129" s="1">
        <f t="shared" si="2"/>
        <v>45708</v>
      </c>
      <c r="I129">
        <f t="shared" si="3"/>
        <v>8</v>
      </c>
    </row>
    <row r="130" spans="1:9" x14ac:dyDescent="0.2">
      <c r="A130">
        <v>20250221</v>
      </c>
      <c r="B130" t="s">
        <v>7</v>
      </c>
      <c r="C130" t="s">
        <v>8</v>
      </c>
      <c r="D130">
        <v>13</v>
      </c>
      <c r="E130">
        <v>54</v>
      </c>
      <c r="F130">
        <v>0</v>
      </c>
      <c r="G130">
        <v>0</v>
      </c>
      <c r="H130" s="1">
        <f t="shared" ref="H130:H193" si="4">DATE(LEFT(A130,4),MID(A130,5,2),RIGHT(A130,2))</f>
        <v>45709</v>
      </c>
      <c r="I130">
        <f t="shared" ref="I130:I193" si="5">WEEKNUM(H130)</f>
        <v>8</v>
      </c>
    </row>
    <row r="131" spans="1:9" x14ac:dyDescent="0.2">
      <c r="A131">
        <v>20250222</v>
      </c>
      <c r="B131" t="s">
        <v>19</v>
      </c>
      <c r="C131" t="s">
        <v>8</v>
      </c>
      <c r="D131">
        <v>1</v>
      </c>
      <c r="E131">
        <v>31</v>
      </c>
      <c r="F131">
        <v>0</v>
      </c>
      <c r="G131">
        <v>0</v>
      </c>
      <c r="H131" s="1">
        <f t="shared" si="4"/>
        <v>45710</v>
      </c>
      <c r="I131">
        <f t="shared" si="5"/>
        <v>8</v>
      </c>
    </row>
    <row r="132" spans="1:9" x14ac:dyDescent="0.2">
      <c r="A132">
        <v>20250222</v>
      </c>
      <c r="B132" t="s">
        <v>7</v>
      </c>
      <c r="C132" t="s">
        <v>8</v>
      </c>
      <c r="D132">
        <v>7</v>
      </c>
      <c r="E132">
        <v>84</v>
      </c>
      <c r="F132">
        <v>0</v>
      </c>
      <c r="G132">
        <v>1</v>
      </c>
      <c r="H132" s="1">
        <f t="shared" si="4"/>
        <v>45710</v>
      </c>
      <c r="I132">
        <f t="shared" si="5"/>
        <v>8</v>
      </c>
    </row>
    <row r="133" spans="1:9" x14ac:dyDescent="0.2">
      <c r="A133">
        <v>20250223</v>
      </c>
      <c r="B133" t="s">
        <v>7</v>
      </c>
      <c r="C133" t="s">
        <v>8</v>
      </c>
      <c r="D133">
        <v>10</v>
      </c>
      <c r="E133">
        <v>75.3</v>
      </c>
      <c r="F133">
        <v>0</v>
      </c>
      <c r="G133">
        <v>0</v>
      </c>
      <c r="H133" s="1">
        <f t="shared" si="4"/>
        <v>45711</v>
      </c>
      <c r="I133">
        <f t="shared" si="5"/>
        <v>9</v>
      </c>
    </row>
    <row r="134" spans="1:9" x14ac:dyDescent="0.2">
      <c r="A134">
        <v>20250223</v>
      </c>
      <c r="B134" t="s">
        <v>10</v>
      </c>
      <c r="C134" t="s">
        <v>8</v>
      </c>
      <c r="D134">
        <v>2</v>
      </c>
      <c r="E134">
        <v>16.5</v>
      </c>
      <c r="F134">
        <v>0</v>
      </c>
      <c r="G134">
        <v>0</v>
      </c>
      <c r="H134" s="1">
        <f t="shared" si="4"/>
        <v>45711</v>
      </c>
      <c r="I134">
        <f t="shared" si="5"/>
        <v>9</v>
      </c>
    </row>
    <row r="135" spans="1:9" x14ac:dyDescent="0.2">
      <c r="A135">
        <v>20250224</v>
      </c>
      <c r="B135" t="s">
        <v>7</v>
      </c>
      <c r="C135" t="s">
        <v>8</v>
      </c>
      <c r="D135">
        <v>3</v>
      </c>
      <c r="E135">
        <v>36.6666666666666</v>
      </c>
      <c r="F135">
        <v>0</v>
      </c>
      <c r="G135">
        <v>0</v>
      </c>
      <c r="H135" s="1">
        <f t="shared" si="4"/>
        <v>45712</v>
      </c>
      <c r="I135">
        <f t="shared" si="5"/>
        <v>9</v>
      </c>
    </row>
    <row r="136" spans="1:9" x14ac:dyDescent="0.2">
      <c r="A136">
        <v>20250225</v>
      </c>
      <c r="B136" t="s">
        <v>7</v>
      </c>
      <c r="C136" t="s">
        <v>8</v>
      </c>
      <c r="D136">
        <v>4</v>
      </c>
      <c r="E136">
        <v>39.25</v>
      </c>
      <c r="F136">
        <v>0</v>
      </c>
      <c r="G136">
        <v>0</v>
      </c>
      <c r="H136" s="1">
        <f t="shared" si="4"/>
        <v>45713</v>
      </c>
      <c r="I136">
        <f t="shared" si="5"/>
        <v>9</v>
      </c>
    </row>
    <row r="137" spans="1:9" x14ac:dyDescent="0.2">
      <c r="A137">
        <v>20250225</v>
      </c>
      <c r="B137" t="s">
        <v>10</v>
      </c>
      <c r="C137" t="s">
        <v>17</v>
      </c>
      <c r="D137">
        <v>3</v>
      </c>
      <c r="E137">
        <v>1</v>
      </c>
      <c r="F137">
        <v>0</v>
      </c>
      <c r="G137">
        <v>5</v>
      </c>
      <c r="H137" s="1">
        <f t="shared" si="4"/>
        <v>45713</v>
      </c>
      <c r="I137">
        <f t="shared" si="5"/>
        <v>9</v>
      </c>
    </row>
    <row r="138" spans="1:9" x14ac:dyDescent="0.2">
      <c r="A138">
        <v>20250226</v>
      </c>
      <c r="B138" t="s">
        <v>7</v>
      </c>
      <c r="C138" t="s">
        <v>8</v>
      </c>
      <c r="D138">
        <v>1</v>
      </c>
      <c r="E138">
        <v>31</v>
      </c>
      <c r="F138">
        <v>0</v>
      </c>
      <c r="G138">
        <v>0</v>
      </c>
      <c r="H138" s="1">
        <f t="shared" si="4"/>
        <v>45714</v>
      </c>
      <c r="I138">
        <f t="shared" si="5"/>
        <v>9</v>
      </c>
    </row>
    <row r="139" spans="1:9" x14ac:dyDescent="0.2">
      <c r="A139">
        <v>20250226</v>
      </c>
      <c r="B139" t="s">
        <v>9</v>
      </c>
      <c r="C139" t="s">
        <v>13</v>
      </c>
      <c r="D139">
        <v>1</v>
      </c>
      <c r="E139">
        <v>1</v>
      </c>
      <c r="F139">
        <v>0</v>
      </c>
      <c r="G139">
        <v>0</v>
      </c>
      <c r="H139" s="1">
        <f t="shared" si="4"/>
        <v>45714</v>
      </c>
      <c r="I139">
        <f t="shared" si="5"/>
        <v>9</v>
      </c>
    </row>
    <row r="140" spans="1:9" x14ac:dyDescent="0.2">
      <c r="A140">
        <v>20250226</v>
      </c>
      <c r="B140" t="s">
        <v>9</v>
      </c>
      <c r="C140" t="s">
        <v>8</v>
      </c>
      <c r="D140">
        <v>1</v>
      </c>
      <c r="E140">
        <v>37</v>
      </c>
      <c r="F140">
        <v>0</v>
      </c>
      <c r="G140">
        <v>0</v>
      </c>
      <c r="H140" s="1">
        <f t="shared" si="4"/>
        <v>45714</v>
      </c>
      <c r="I140">
        <f t="shared" si="5"/>
        <v>9</v>
      </c>
    </row>
    <row r="141" spans="1:9" x14ac:dyDescent="0.2">
      <c r="A141">
        <v>20250226</v>
      </c>
      <c r="B141" t="s">
        <v>10</v>
      </c>
      <c r="C141" t="s">
        <v>13</v>
      </c>
      <c r="D141">
        <v>2</v>
      </c>
      <c r="E141">
        <v>1</v>
      </c>
      <c r="F141">
        <v>0</v>
      </c>
      <c r="G141">
        <v>0</v>
      </c>
      <c r="H141" s="1">
        <f t="shared" si="4"/>
        <v>45714</v>
      </c>
      <c r="I141">
        <f t="shared" si="5"/>
        <v>9</v>
      </c>
    </row>
    <row r="142" spans="1:9" x14ac:dyDescent="0.2">
      <c r="A142">
        <v>20250227</v>
      </c>
      <c r="B142" t="s">
        <v>7</v>
      </c>
      <c r="C142" t="s">
        <v>8</v>
      </c>
      <c r="D142">
        <v>1</v>
      </c>
      <c r="E142">
        <v>87</v>
      </c>
      <c r="F142">
        <v>0</v>
      </c>
      <c r="G142">
        <v>0</v>
      </c>
      <c r="H142" s="1">
        <f t="shared" si="4"/>
        <v>45715</v>
      </c>
      <c r="I142">
        <f t="shared" si="5"/>
        <v>9</v>
      </c>
    </row>
    <row r="143" spans="1:9" x14ac:dyDescent="0.2">
      <c r="A143">
        <v>20250227</v>
      </c>
      <c r="B143" t="s">
        <v>10</v>
      </c>
      <c r="C143" t="s">
        <v>8</v>
      </c>
      <c r="D143">
        <v>1</v>
      </c>
      <c r="E143">
        <v>15</v>
      </c>
      <c r="F143">
        <v>0</v>
      </c>
      <c r="G143">
        <v>0</v>
      </c>
      <c r="H143" s="1">
        <f t="shared" si="4"/>
        <v>45715</v>
      </c>
      <c r="I143">
        <f t="shared" si="5"/>
        <v>9</v>
      </c>
    </row>
    <row r="144" spans="1:9" x14ac:dyDescent="0.2">
      <c r="A144">
        <v>20250228</v>
      </c>
      <c r="B144" t="s">
        <v>19</v>
      </c>
      <c r="C144" t="s">
        <v>8</v>
      </c>
      <c r="D144">
        <v>2</v>
      </c>
      <c r="E144">
        <v>23</v>
      </c>
      <c r="F144">
        <v>0</v>
      </c>
      <c r="G144">
        <v>0</v>
      </c>
      <c r="H144" s="1">
        <f t="shared" si="4"/>
        <v>45716</v>
      </c>
      <c r="I144">
        <f t="shared" si="5"/>
        <v>9</v>
      </c>
    </row>
    <row r="145" spans="1:9" x14ac:dyDescent="0.2">
      <c r="A145">
        <v>20250228</v>
      </c>
      <c r="B145" t="s">
        <v>23</v>
      </c>
      <c r="C145" t="s">
        <v>8</v>
      </c>
      <c r="D145">
        <v>1</v>
      </c>
      <c r="E145">
        <v>21</v>
      </c>
      <c r="F145">
        <v>0</v>
      </c>
      <c r="G145">
        <v>0</v>
      </c>
      <c r="H145" s="1">
        <f t="shared" si="4"/>
        <v>45716</v>
      </c>
      <c r="I145">
        <f t="shared" si="5"/>
        <v>9</v>
      </c>
    </row>
    <row r="146" spans="1:9" x14ac:dyDescent="0.2">
      <c r="A146">
        <v>20250228</v>
      </c>
      <c r="B146" t="s">
        <v>10</v>
      </c>
      <c r="C146" t="s">
        <v>28</v>
      </c>
      <c r="D146">
        <v>3</v>
      </c>
      <c r="E146">
        <v>66.6666666666666</v>
      </c>
      <c r="F146">
        <v>0</v>
      </c>
      <c r="G146">
        <v>0</v>
      </c>
      <c r="H146" s="1">
        <f t="shared" si="4"/>
        <v>45716</v>
      </c>
      <c r="I146">
        <f t="shared" si="5"/>
        <v>9</v>
      </c>
    </row>
    <row r="147" spans="1:9" x14ac:dyDescent="0.2">
      <c r="A147">
        <v>20250228</v>
      </c>
      <c r="B147" t="s">
        <v>10</v>
      </c>
      <c r="C147" t="s">
        <v>8</v>
      </c>
      <c r="D147">
        <v>1</v>
      </c>
      <c r="E147">
        <v>22</v>
      </c>
      <c r="F147">
        <v>0</v>
      </c>
      <c r="G147">
        <v>0</v>
      </c>
      <c r="H147" s="1">
        <f t="shared" si="4"/>
        <v>45716</v>
      </c>
      <c r="I147">
        <f t="shared" si="5"/>
        <v>9</v>
      </c>
    </row>
    <row r="148" spans="1:9" x14ac:dyDescent="0.2">
      <c r="A148">
        <v>20250301</v>
      </c>
      <c r="B148" t="s">
        <v>7</v>
      </c>
      <c r="C148" t="s">
        <v>8</v>
      </c>
      <c r="D148">
        <v>2</v>
      </c>
      <c r="E148">
        <v>25</v>
      </c>
      <c r="F148">
        <v>0</v>
      </c>
      <c r="G148">
        <v>0</v>
      </c>
      <c r="H148" s="1">
        <f t="shared" si="4"/>
        <v>45717</v>
      </c>
      <c r="I148">
        <f t="shared" si="5"/>
        <v>9</v>
      </c>
    </row>
    <row r="149" spans="1:9" x14ac:dyDescent="0.2">
      <c r="A149">
        <v>20250301</v>
      </c>
      <c r="B149" t="s">
        <v>23</v>
      </c>
      <c r="C149" t="s">
        <v>8</v>
      </c>
      <c r="D149">
        <v>1</v>
      </c>
      <c r="E149">
        <v>23</v>
      </c>
      <c r="F149">
        <v>0</v>
      </c>
      <c r="G149">
        <v>0</v>
      </c>
      <c r="H149" s="1">
        <f t="shared" si="4"/>
        <v>45717</v>
      </c>
      <c r="I149">
        <f t="shared" si="5"/>
        <v>9</v>
      </c>
    </row>
    <row r="150" spans="1:9" x14ac:dyDescent="0.2">
      <c r="A150">
        <v>20250301</v>
      </c>
      <c r="B150" t="s">
        <v>14</v>
      </c>
      <c r="C150" t="s">
        <v>8</v>
      </c>
      <c r="D150">
        <v>1</v>
      </c>
      <c r="E150">
        <v>2</v>
      </c>
      <c r="F150">
        <v>0</v>
      </c>
      <c r="G150">
        <v>2</v>
      </c>
      <c r="H150" s="1">
        <f t="shared" si="4"/>
        <v>45717</v>
      </c>
      <c r="I150">
        <f t="shared" si="5"/>
        <v>9</v>
      </c>
    </row>
    <row r="151" spans="1:9" x14ac:dyDescent="0.2">
      <c r="A151">
        <v>20250301</v>
      </c>
      <c r="B151" t="s">
        <v>9</v>
      </c>
      <c r="C151" t="s">
        <v>8</v>
      </c>
      <c r="D151">
        <v>1</v>
      </c>
      <c r="E151">
        <v>2</v>
      </c>
      <c r="F151">
        <v>0</v>
      </c>
      <c r="G151">
        <v>0</v>
      </c>
      <c r="H151" s="1">
        <f t="shared" si="4"/>
        <v>45717</v>
      </c>
      <c r="I151">
        <f t="shared" si="5"/>
        <v>9</v>
      </c>
    </row>
    <row r="152" spans="1:9" x14ac:dyDescent="0.2">
      <c r="A152">
        <v>20250301</v>
      </c>
      <c r="B152" t="s">
        <v>10</v>
      </c>
      <c r="C152" t="s">
        <v>8</v>
      </c>
      <c r="D152">
        <v>2</v>
      </c>
      <c r="E152">
        <v>14.5</v>
      </c>
      <c r="F152">
        <v>0</v>
      </c>
      <c r="G152">
        <v>0</v>
      </c>
      <c r="H152" s="1">
        <f t="shared" si="4"/>
        <v>45717</v>
      </c>
      <c r="I152">
        <f t="shared" si="5"/>
        <v>9</v>
      </c>
    </row>
    <row r="153" spans="1:9" x14ac:dyDescent="0.2">
      <c r="A153">
        <v>20250302</v>
      </c>
      <c r="B153" t="s">
        <v>19</v>
      </c>
      <c r="C153" t="s">
        <v>8</v>
      </c>
      <c r="D153">
        <v>4</v>
      </c>
      <c r="E153">
        <v>1</v>
      </c>
      <c r="F153">
        <v>0</v>
      </c>
      <c r="G153">
        <v>0</v>
      </c>
      <c r="H153" s="1">
        <f t="shared" si="4"/>
        <v>45718</v>
      </c>
      <c r="I153">
        <f t="shared" si="5"/>
        <v>10</v>
      </c>
    </row>
    <row r="154" spans="1:9" x14ac:dyDescent="0.2">
      <c r="A154">
        <v>20250302</v>
      </c>
      <c r="B154" t="s">
        <v>16</v>
      </c>
      <c r="C154" t="s">
        <v>8</v>
      </c>
      <c r="D154">
        <v>1</v>
      </c>
      <c r="E154">
        <v>31</v>
      </c>
      <c r="F154">
        <v>0</v>
      </c>
      <c r="G154">
        <v>0</v>
      </c>
      <c r="H154" s="1">
        <f t="shared" si="4"/>
        <v>45718</v>
      </c>
      <c r="I154">
        <f t="shared" si="5"/>
        <v>10</v>
      </c>
    </row>
    <row r="155" spans="1:9" x14ac:dyDescent="0.2">
      <c r="A155">
        <v>20250302</v>
      </c>
      <c r="B155" t="s">
        <v>7</v>
      </c>
      <c r="C155" t="s">
        <v>8</v>
      </c>
      <c r="D155">
        <v>2</v>
      </c>
      <c r="E155">
        <v>22</v>
      </c>
      <c r="F155">
        <v>0</v>
      </c>
      <c r="G155">
        <v>0</v>
      </c>
      <c r="H155" s="1">
        <f t="shared" si="4"/>
        <v>45718</v>
      </c>
      <c r="I155">
        <f t="shared" si="5"/>
        <v>10</v>
      </c>
    </row>
    <row r="156" spans="1:9" x14ac:dyDescent="0.2">
      <c r="A156">
        <v>20250302</v>
      </c>
      <c r="B156" t="s">
        <v>10</v>
      </c>
      <c r="C156" t="s">
        <v>8</v>
      </c>
      <c r="D156">
        <v>1</v>
      </c>
      <c r="E156">
        <v>34</v>
      </c>
      <c r="F156">
        <v>0</v>
      </c>
      <c r="G156">
        <v>0</v>
      </c>
      <c r="H156" s="1">
        <f t="shared" si="4"/>
        <v>45718</v>
      </c>
      <c r="I156">
        <f t="shared" si="5"/>
        <v>10</v>
      </c>
    </row>
    <row r="157" spans="1:9" x14ac:dyDescent="0.2">
      <c r="A157">
        <v>20250303</v>
      </c>
      <c r="B157" t="s">
        <v>7</v>
      </c>
      <c r="C157" t="s">
        <v>8</v>
      </c>
      <c r="D157">
        <v>1</v>
      </c>
      <c r="E157">
        <v>10</v>
      </c>
      <c r="F157">
        <v>0</v>
      </c>
      <c r="G157">
        <v>0</v>
      </c>
      <c r="H157" s="1">
        <f t="shared" si="4"/>
        <v>45719</v>
      </c>
      <c r="I157">
        <f t="shared" si="5"/>
        <v>10</v>
      </c>
    </row>
    <row r="158" spans="1:9" x14ac:dyDescent="0.2">
      <c r="A158">
        <v>20250303</v>
      </c>
      <c r="B158" t="s">
        <v>23</v>
      </c>
      <c r="C158" t="s">
        <v>8</v>
      </c>
      <c r="D158">
        <v>3</v>
      </c>
      <c r="E158">
        <v>20.6666666666666</v>
      </c>
      <c r="F158">
        <v>0</v>
      </c>
      <c r="G158">
        <v>0</v>
      </c>
      <c r="H158" s="1">
        <f t="shared" si="4"/>
        <v>45719</v>
      </c>
      <c r="I158">
        <f t="shared" si="5"/>
        <v>10</v>
      </c>
    </row>
    <row r="159" spans="1:9" x14ac:dyDescent="0.2">
      <c r="A159">
        <v>20250304</v>
      </c>
      <c r="B159" t="s">
        <v>19</v>
      </c>
      <c r="C159" t="s">
        <v>8</v>
      </c>
      <c r="D159">
        <v>2</v>
      </c>
      <c r="E159">
        <v>39</v>
      </c>
      <c r="F159">
        <v>0</v>
      </c>
      <c r="G159">
        <v>0</v>
      </c>
      <c r="H159" s="1">
        <f t="shared" si="4"/>
        <v>45720</v>
      </c>
      <c r="I159">
        <f t="shared" si="5"/>
        <v>10</v>
      </c>
    </row>
    <row r="160" spans="1:9" x14ac:dyDescent="0.2">
      <c r="A160">
        <v>20250304</v>
      </c>
      <c r="B160" t="s">
        <v>7</v>
      </c>
      <c r="C160" t="s">
        <v>8</v>
      </c>
      <c r="D160">
        <v>1</v>
      </c>
      <c r="E160">
        <v>13</v>
      </c>
      <c r="F160">
        <v>0</v>
      </c>
      <c r="G160">
        <v>0</v>
      </c>
      <c r="H160" s="1">
        <f t="shared" si="4"/>
        <v>45720</v>
      </c>
      <c r="I160">
        <f t="shared" si="5"/>
        <v>10</v>
      </c>
    </row>
    <row r="161" spans="1:9" x14ac:dyDescent="0.2">
      <c r="A161">
        <v>20250304</v>
      </c>
      <c r="B161" t="s">
        <v>9</v>
      </c>
      <c r="C161" t="s">
        <v>13</v>
      </c>
      <c r="D161">
        <v>1</v>
      </c>
      <c r="E161">
        <v>1</v>
      </c>
      <c r="F161">
        <v>0</v>
      </c>
      <c r="G161">
        <v>0</v>
      </c>
      <c r="H161" s="1">
        <f t="shared" si="4"/>
        <v>45720</v>
      </c>
      <c r="I161">
        <f t="shared" si="5"/>
        <v>10</v>
      </c>
    </row>
    <row r="162" spans="1:9" x14ac:dyDescent="0.2">
      <c r="A162">
        <v>20250305</v>
      </c>
      <c r="B162" t="s">
        <v>16</v>
      </c>
      <c r="C162" t="s">
        <v>28</v>
      </c>
      <c r="D162">
        <v>1</v>
      </c>
      <c r="E162">
        <v>21</v>
      </c>
      <c r="F162">
        <v>0</v>
      </c>
      <c r="G162">
        <v>0</v>
      </c>
      <c r="H162" s="1">
        <f t="shared" si="4"/>
        <v>45721</v>
      </c>
      <c r="I162">
        <f t="shared" si="5"/>
        <v>10</v>
      </c>
    </row>
    <row r="163" spans="1:9" x14ac:dyDescent="0.2">
      <c r="A163">
        <v>20250307</v>
      </c>
      <c r="B163" t="s">
        <v>16</v>
      </c>
      <c r="C163" t="s">
        <v>25</v>
      </c>
      <c r="D163">
        <v>1</v>
      </c>
      <c r="E163">
        <v>45</v>
      </c>
      <c r="F163">
        <v>0</v>
      </c>
      <c r="G163">
        <v>0</v>
      </c>
      <c r="H163" s="1">
        <f t="shared" si="4"/>
        <v>45723</v>
      </c>
      <c r="I163">
        <f t="shared" si="5"/>
        <v>10</v>
      </c>
    </row>
    <row r="164" spans="1:9" x14ac:dyDescent="0.2">
      <c r="A164">
        <v>20250307</v>
      </c>
      <c r="B164" t="s">
        <v>7</v>
      </c>
      <c r="C164" t="s">
        <v>8</v>
      </c>
      <c r="D164">
        <v>1</v>
      </c>
      <c r="E164">
        <v>36</v>
      </c>
      <c r="F164">
        <v>0</v>
      </c>
      <c r="G164">
        <v>0</v>
      </c>
      <c r="H164" s="1">
        <f t="shared" si="4"/>
        <v>45723</v>
      </c>
      <c r="I164">
        <f t="shared" si="5"/>
        <v>10</v>
      </c>
    </row>
    <row r="165" spans="1:9" x14ac:dyDescent="0.2">
      <c r="A165">
        <v>20250307</v>
      </c>
      <c r="B165" t="s">
        <v>9</v>
      </c>
      <c r="C165" t="s">
        <v>8</v>
      </c>
      <c r="D165">
        <v>1</v>
      </c>
      <c r="E165">
        <v>73</v>
      </c>
      <c r="F165">
        <v>0</v>
      </c>
      <c r="G165">
        <v>0</v>
      </c>
      <c r="H165" s="1">
        <f t="shared" si="4"/>
        <v>45723</v>
      </c>
      <c r="I165">
        <f t="shared" si="5"/>
        <v>10</v>
      </c>
    </row>
    <row r="166" spans="1:9" x14ac:dyDescent="0.2">
      <c r="A166">
        <v>20250308</v>
      </c>
      <c r="B166" t="s">
        <v>9</v>
      </c>
      <c r="C166" t="s">
        <v>8</v>
      </c>
      <c r="D166">
        <v>1</v>
      </c>
      <c r="E166">
        <v>35</v>
      </c>
      <c r="F166">
        <v>0</v>
      </c>
      <c r="G166">
        <v>0</v>
      </c>
      <c r="H166" s="1">
        <f t="shared" si="4"/>
        <v>45724</v>
      </c>
      <c r="I166">
        <f t="shared" si="5"/>
        <v>10</v>
      </c>
    </row>
    <row r="167" spans="1:9" x14ac:dyDescent="0.2">
      <c r="A167">
        <v>20250308</v>
      </c>
      <c r="B167" t="s">
        <v>9</v>
      </c>
      <c r="C167" t="s">
        <v>13</v>
      </c>
      <c r="D167">
        <v>1</v>
      </c>
      <c r="E167">
        <v>2</v>
      </c>
      <c r="F167">
        <v>0</v>
      </c>
      <c r="G167">
        <v>0</v>
      </c>
      <c r="H167" s="1">
        <f t="shared" si="4"/>
        <v>45724</v>
      </c>
      <c r="I167">
        <f t="shared" si="5"/>
        <v>10</v>
      </c>
    </row>
    <row r="168" spans="1:9" x14ac:dyDescent="0.2">
      <c r="A168">
        <v>20250309</v>
      </c>
      <c r="B168" t="s">
        <v>7</v>
      </c>
      <c r="C168" t="s">
        <v>8</v>
      </c>
      <c r="D168">
        <v>1</v>
      </c>
      <c r="E168">
        <v>21</v>
      </c>
      <c r="F168">
        <v>0</v>
      </c>
      <c r="G168">
        <v>0</v>
      </c>
      <c r="H168" s="1">
        <f t="shared" si="4"/>
        <v>45725</v>
      </c>
      <c r="I168">
        <f t="shared" si="5"/>
        <v>11</v>
      </c>
    </row>
    <row r="169" spans="1:9" x14ac:dyDescent="0.2">
      <c r="A169">
        <v>20250309</v>
      </c>
      <c r="B169" t="s">
        <v>14</v>
      </c>
      <c r="C169" t="s">
        <v>13</v>
      </c>
      <c r="D169">
        <v>1</v>
      </c>
      <c r="E169">
        <v>37</v>
      </c>
      <c r="F169">
        <v>0</v>
      </c>
      <c r="G169">
        <v>0</v>
      </c>
      <c r="H169" s="1">
        <f t="shared" si="4"/>
        <v>45725</v>
      </c>
      <c r="I169">
        <f t="shared" si="5"/>
        <v>11</v>
      </c>
    </row>
    <row r="170" spans="1:9" x14ac:dyDescent="0.2">
      <c r="A170">
        <v>20250310</v>
      </c>
      <c r="B170" t="s">
        <v>7</v>
      </c>
      <c r="C170" t="s">
        <v>8</v>
      </c>
      <c r="D170">
        <v>6</v>
      </c>
      <c r="E170">
        <v>62</v>
      </c>
      <c r="F170">
        <v>0</v>
      </c>
      <c r="G170">
        <v>0</v>
      </c>
      <c r="H170" s="1">
        <f t="shared" si="4"/>
        <v>45726</v>
      </c>
      <c r="I170">
        <f t="shared" si="5"/>
        <v>11</v>
      </c>
    </row>
    <row r="171" spans="1:9" x14ac:dyDescent="0.2">
      <c r="A171">
        <v>20250310</v>
      </c>
      <c r="B171" t="s">
        <v>9</v>
      </c>
      <c r="C171" t="s">
        <v>13</v>
      </c>
      <c r="D171">
        <v>1</v>
      </c>
      <c r="E171">
        <v>1</v>
      </c>
      <c r="F171">
        <v>0</v>
      </c>
      <c r="G171">
        <v>0</v>
      </c>
      <c r="H171" s="1">
        <f t="shared" si="4"/>
        <v>45726</v>
      </c>
      <c r="I171">
        <f t="shared" si="5"/>
        <v>11</v>
      </c>
    </row>
    <row r="172" spans="1:9" x14ac:dyDescent="0.2">
      <c r="A172">
        <v>20250311</v>
      </c>
      <c r="B172" t="s">
        <v>16</v>
      </c>
      <c r="C172" t="s">
        <v>8</v>
      </c>
      <c r="D172">
        <v>1</v>
      </c>
      <c r="E172">
        <v>15</v>
      </c>
      <c r="F172">
        <v>0</v>
      </c>
      <c r="G172">
        <v>0</v>
      </c>
      <c r="H172" s="1">
        <f t="shared" si="4"/>
        <v>45727</v>
      </c>
      <c r="I172">
        <f t="shared" si="5"/>
        <v>11</v>
      </c>
    </row>
    <row r="173" spans="1:9" x14ac:dyDescent="0.2">
      <c r="A173">
        <v>20250311</v>
      </c>
      <c r="B173" t="s">
        <v>7</v>
      </c>
      <c r="C173" t="s">
        <v>8</v>
      </c>
      <c r="D173">
        <v>2</v>
      </c>
      <c r="E173">
        <v>47</v>
      </c>
      <c r="F173">
        <v>0</v>
      </c>
      <c r="G173">
        <v>0</v>
      </c>
      <c r="H173" s="1">
        <f t="shared" si="4"/>
        <v>45727</v>
      </c>
      <c r="I173">
        <f t="shared" si="5"/>
        <v>11</v>
      </c>
    </row>
    <row r="174" spans="1:9" x14ac:dyDescent="0.2">
      <c r="A174">
        <v>20250311</v>
      </c>
      <c r="B174" t="s">
        <v>10</v>
      </c>
      <c r="C174" t="s">
        <v>17</v>
      </c>
      <c r="D174">
        <v>1</v>
      </c>
      <c r="E174">
        <v>1</v>
      </c>
      <c r="F174">
        <v>0</v>
      </c>
      <c r="G174">
        <v>0</v>
      </c>
      <c r="H174" s="1">
        <f t="shared" si="4"/>
        <v>45727</v>
      </c>
      <c r="I174">
        <f t="shared" si="5"/>
        <v>11</v>
      </c>
    </row>
    <row r="175" spans="1:9" x14ac:dyDescent="0.2">
      <c r="A175">
        <v>20250312</v>
      </c>
      <c r="B175" t="s">
        <v>7</v>
      </c>
      <c r="C175" t="s">
        <v>8</v>
      </c>
      <c r="D175">
        <v>4</v>
      </c>
      <c r="E175">
        <v>13.25</v>
      </c>
      <c r="F175">
        <v>0</v>
      </c>
      <c r="G175">
        <v>0</v>
      </c>
      <c r="H175" s="1">
        <f t="shared" si="4"/>
        <v>45728</v>
      </c>
      <c r="I175">
        <f t="shared" si="5"/>
        <v>11</v>
      </c>
    </row>
    <row r="176" spans="1:9" x14ac:dyDescent="0.2">
      <c r="A176">
        <v>20250312</v>
      </c>
      <c r="B176" t="s">
        <v>7</v>
      </c>
      <c r="C176" t="s">
        <v>13</v>
      </c>
      <c r="D176">
        <v>1</v>
      </c>
      <c r="E176">
        <v>26</v>
      </c>
      <c r="F176">
        <v>0</v>
      </c>
      <c r="G176">
        <v>0</v>
      </c>
      <c r="H176" s="1">
        <f t="shared" si="4"/>
        <v>45728</v>
      </c>
      <c r="I176">
        <f t="shared" si="5"/>
        <v>11</v>
      </c>
    </row>
    <row r="177" spans="1:9" x14ac:dyDescent="0.2">
      <c r="A177">
        <v>20250312</v>
      </c>
      <c r="B177" t="s">
        <v>10</v>
      </c>
      <c r="C177" t="s">
        <v>8</v>
      </c>
      <c r="D177">
        <v>3</v>
      </c>
      <c r="E177">
        <v>12</v>
      </c>
      <c r="F177">
        <v>0</v>
      </c>
      <c r="G177">
        <v>0</v>
      </c>
      <c r="H177" s="1">
        <f t="shared" si="4"/>
        <v>45728</v>
      </c>
      <c r="I177">
        <f t="shared" si="5"/>
        <v>11</v>
      </c>
    </row>
    <row r="178" spans="1:9" x14ac:dyDescent="0.2">
      <c r="A178">
        <v>20250313</v>
      </c>
      <c r="B178" t="s">
        <v>19</v>
      </c>
      <c r="C178" t="s">
        <v>8</v>
      </c>
      <c r="D178">
        <v>1</v>
      </c>
      <c r="E178">
        <v>36</v>
      </c>
      <c r="F178">
        <v>0</v>
      </c>
      <c r="G178">
        <v>0</v>
      </c>
      <c r="H178" s="1">
        <f t="shared" si="4"/>
        <v>45729</v>
      </c>
      <c r="I178">
        <f t="shared" si="5"/>
        <v>11</v>
      </c>
    </row>
    <row r="179" spans="1:9" x14ac:dyDescent="0.2">
      <c r="A179">
        <v>20250313</v>
      </c>
      <c r="B179" t="s">
        <v>7</v>
      </c>
      <c r="C179" t="s">
        <v>8</v>
      </c>
      <c r="D179">
        <v>4</v>
      </c>
      <c r="E179">
        <v>14.5</v>
      </c>
      <c r="F179">
        <v>0</v>
      </c>
      <c r="G179">
        <v>0</v>
      </c>
      <c r="H179" s="1">
        <f t="shared" si="4"/>
        <v>45729</v>
      </c>
      <c r="I179">
        <f t="shared" si="5"/>
        <v>11</v>
      </c>
    </row>
    <row r="180" spans="1:9" x14ac:dyDescent="0.2">
      <c r="A180">
        <v>20250313</v>
      </c>
      <c r="B180" t="s">
        <v>7</v>
      </c>
      <c r="C180" t="s">
        <v>24</v>
      </c>
      <c r="D180">
        <v>2</v>
      </c>
      <c r="E180">
        <v>44.5</v>
      </c>
      <c r="F180">
        <v>0</v>
      </c>
      <c r="G180">
        <v>0</v>
      </c>
      <c r="H180" s="1">
        <f t="shared" si="4"/>
        <v>45729</v>
      </c>
      <c r="I180">
        <f t="shared" si="5"/>
        <v>11</v>
      </c>
    </row>
    <row r="181" spans="1:9" x14ac:dyDescent="0.2">
      <c r="A181">
        <v>20250313</v>
      </c>
      <c r="B181" t="s">
        <v>10</v>
      </c>
      <c r="C181" t="s">
        <v>8</v>
      </c>
      <c r="D181">
        <v>2</v>
      </c>
      <c r="E181">
        <v>10.5</v>
      </c>
      <c r="F181">
        <v>0</v>
      </c>
      <c r="G181">
        <v>0</v>
      </c>
      <c r="H181" s="1">
        <f t="shared" si="4"/>
        <v>45729</v>
      </c>
      <c r="I181">
        <f t="shared" si="5"/>
        <v>11</v>
      </c>
    </row>
    <row r="182" spans="1:9" x14ac:dyDescent="0.2">
      <c r="A182">
        <v>20250313</v>
      </c>
      <c r="B182" t="s">
        <v>10</v>
      </c>
      <c r="C182" t="s">
        <v>13</v>
      </c>
      <c r="D182">
        <v>1</v>
      </c>
      <c r="E182">
        <v>1</v>
      </c>
      <c r="F182">
        <v>0</v>
      </c>
      <c r="G182">
        <v>0</v>
      </c>
      <c r="H182" s="1">
        <f t="shared" si="4"/>
        <v>45729</v>
      </c>
      <c r="I182">
        <f t="shared" si="5"/>
        <v>11</v>
      </c>
    </row>
    <row r="183" spans="1:9" x14ac:dyDescent="0.2">
      <c r="A183">
        <v>20250314</v>
      </c>
      <c r="B183" t="s">
        <v>19</v>
      </c>
      <c r="C183" t="s">
        <v>8</v>
      </c>
      <c r="D183">
        <v>4</v>
      </c>
      <c r="E183">
        <v>1</v>
      </c>
      <c r="F183">
        <v>0</v>
      </c>
      <c r="G183">
        <v>1</v>
      </c>
      <c r="H183" s="1">
        <f t="shared" si="4"/>
        <v>45730</v>
      </c>
      <c r="I183">
        <f t="shared" si="5"/>
        <v>11</v>
      </c>
    </row>
    <row r="184" spans="1:9" x14ac:dyDescent="0.2">
      <c r="A184">
        <v>20250314</v>
      </c>
      <c r="B184" t="s">
        <v>9</v>
      </c>
      <c r="C184" t="s">
        <v>13</v>
      </c>
      <c r="D184">
        <v>6</v>
      </c>
      <c r="E184">
        <v>1</v>
      </c>
      <c r="F184">
        <v>0</v>
      </c>
      <c r="G184">
        <v>0</v>
      </c>
      <c r="H184" s="1">
        <f t="shared" si="4"/>
        <v>45730</v>
      </c>
      <c r="I184">
        <f t="shared" si="5"/>
        <v>11</v>
      </c>
    </row>
    <row r="185" spans="1:9" x14ac:dyDescent="0.2">
      <c r="A185">
        <v>20250314</v>
      </c>
      <c r="B185" t="s">
        <v>10</v>
      </c>
      <c r="C185" t="s">
        <v>13</v>
      </c>
      <c r="D185">
        <v>3</v>
      </c>
      <c r="E185">
        <v>1</v>
      </c>
      <c r="F185">
        <v>0</v>
      </c>
      <c r="G185">
        <v>0</v>
      </c>
      <c r="H185" s="1">
        <f t="shared" si="4"/>
        <v>45730</v>
      </c>
      <c r="I185">
        <f t="shared" si="5"/>
        <v>11</v>
      </c>
    </row>
    <row r="186" spans="1:9" x14ac:dyDescent="0.2">
      <c r="A186">
        <v>20250315</v>
      </c>
      <c r="B186" t="s">
        <v>16</v>
      </c>
      <c r="C186" t="s">
        <v>8</v>
      </c>
      <c r="D186">
        <v>2</v>
      </c>
      <c r="E186">
        <v>1</v>
      </c>
      <c r="F186">
        <v>0</v>
      </c>
      <c r="G186">
        <v>0</v>
      </c>
      <c r="H186" s="1">
        <f t="shared" si="4"/>
        <v>45731</v>
      </c>
      <c r="I186">
        <f t="shared" si="5"/>
        <v>11</v>
      </c>
    </row>
    <row r="187" spans="1:9" x14ac:dyDescent="0.2">
      <c r="A187">
        <v>20250315</v>
      </c>
      <c r="B187" t="s">
        <v>9</v>
      </c>
      <c r="C187" t="s">
        <v>18</v>
      </c>
      <c r="D187">
        <v>4</v>
      </c>
      <c r="E187">
        <v>2</v>
      </c>
      <c r="F187">
        <v>0</v>
      </c>
      <c r="G187">
        <v>0</v>
      </c>
      <c r="H187" s="1">
        <f t="shared" si="4"/>
        <v>45731</v>
      </c>
      <c r="I187">
        <f t="shared" si="5"/>
        <v>11</v>
      </c>
    </row>
    <row r="188" spans="1:9" x14ac:dyDescent="0.2">
      <c r="A188">
        <v>20250315</v>
      </c>
      <c r="B188" t="s">
        <v>9</v>
      </c>
      <c r="C188" t="s">
        <v>13</v>
      </c>
      <c r="D188">
        <v>1</v>
      </c>
      <c r="E188">
        <v>1</v>
      </c>
      <c r="F188">
        <v>0</v>
      </c>
      <c r="G188">
        <v>0</v>
      </c>
      <c r="H188" s="1">
        <f t="shared" si="4"/>
        <v>45731</v>
      </c>
      <c r="I188">
        <f t="shared" si="5"/>
        <v>11</v>
      </c>
    </row>
    <row r="189" spans="1:9" x14ac:dyDescent="0.2">
      <c r="A189">
        <v>20250315</v>
      </c>
      <c r="B189" t="s">
        <v>10</v>
      </c>
      <c r="C189" t="s">
        <v>13</v>
      </c>
      <c r="D189">
        <v>5</v>
      </c>
      <c r="E189">
        <v>33.4</v>
      </c>
      <c r="F189">
        <v>0</v>
      </c>
      <c r="G189">
        <v>3</v>
      </c>
      <c r="H189" s="1">
        <f t="shared" si="4"/>
        <v>45731</v>
      </c>
      <c r="I189">
        <f t="shared" si="5"/>
        <v>11</v>
      </c>
    </row>
    <row r="190" spans="1:9" x14ac:dyDescent="0.2">
      <c r="A190">
        <v>20250316</v>
      </c>
      <c r="B190" t="s">
        <v>7</v>
      </c>
      <c r="C190" t="s">
        <v>8</v>
      </c>
      <c r="D190">
        <v>1</v>
      </c>
      <c r="E190">
        <v>1</v>
      </c>
      <c r="F190">
        <v>0</v>
      </c>
      <c r="G190">
        <v>0</v>
      </c>
      <c r="H190" s="1">
        <f t="shared" si="4"/>
        <v>45732</v>
      </c>
      <c r="I190">
        <f t="shared" si="5"/>
        <v>12</v>
      </c>
    </row>
    <row r="191" spans="1:9" x14ac:dyDescent="0.2">
      <c r="A191">
        <v>20250316</v>
      </c>
      <c r="B191" t="s">
        <v>23</v>
      </c>
      <c r="C191" t="s">
        <v>13</v>
      </c>
      <c r="D191">
        <v>1</v>
      </c>
      <c r="E191">
        <v>79</v>
      </c>
      <c r="F191">
        <v>0</v>
      </c>
      <c r="G191">
        <v>0</v>
      </c>
      <c r="H191" s="1">
        <f t="shared" si="4"/>
        <v>45732</v>
      </c>
      <c r="I191">
        <f t="shared" si="5"/>
        <v>12</v>
      </c>
    </row>
    <row r="192" spans="1:9" x14ac:dyDescent="0.2">
      <c r="A192">
        <v>20250316</v>
      </c>
      <c r="B192" t="s">
        <v>9</v>
      </c>
      <c r="C192" t="s">
        <v>13</v>
      </c>
      <c r="D192">
        <v>2</v>
      </c>
      <c r="E192">
        <v>1</v>
      </c>
      <c r="F192">
        <v>0</v>
      </c>
      <c r="G192">
        <v>0</v>
      </c>
      <c r="H192" s="1">
        <f t="shared" si="4"/>
        <v>45732</v>
      </c>
      <c r="I192">
        <f t="shared" si="5"/>
        <v>12</v>
      </c>
    </row>
    <row r="193" spans="1:9" x14ac:dyDescent="0.2">
      <c r="A193">
        <v>20250316</v>
      </c>
      <c r="B193" t="s">
        <v>10</v>
      </c>
      <c r="C193" t="s">
        <v>8</v>
      </c>
      <c r="D193">
        <v>1</v>
      </c>
      <c r="E193">
        <v>12</v>
      </c>
      <c r="F193">
        <v>0</v>
      </c>
      <c r="G193">
        <v>0</v>
      </c>
      <c r="H193" s="1">
        <f t="shared" si="4"/>
        <v>45732</v>
      </c>
      <c r="I193">
        <f t="shared" si="5"/>
        <v>12</v>
      </c>
    </row>
    <row r="194" spans="1:9" x14ac:dyDescent="0.2">
      <c r="A194">
        <v>20250317</v>
      </c>
      <c r="B194" t="s">
        <v>16</v>
      </c>
      <c r="C194" t="s">
        <v>8</v>
      </c>
      <c r="D194">
        <v>1</v>
      </c>
      <c r="E194">
        <v>36</v>
      </c>
      <c r="F194">
        <v>0</v>
      </c>
      <c r="G194">
        <v>0</v>
      </c>
      <c r="H194" s="1">
        <f t="shared" ref="H194:H257" si="6">DATE(LEFT(A194,4),MID(A194,5,2),RIGHT(A194,2))</f>
        <v>45733</v>
      </c>
      <c r="I194">
        <f t="shared" ref="I194:I257" si="7">WEEKNUM(H194)</f>
        <v>12</v>
      </c>
    </row>
    <row r="195" spans="1:9" x14ac:dyDescent="0.2">
      <c r="A195">
        <v>20250318</v>
      </c>
      <c r="B195" t="s">
        <v>19</v>
      </c>
      <c r="C195" t="s">
        <v>8</v>
      </c>
      <c r="D195">
        <v>2</v>
      </c>
      <c r="E195">
        <v>1</v>
      </c>
      <c r="F195">
        <v>0</v>
      </c>
      <c r="G195">
        <v>0</v>
      </c>
      <c r="H195" s="1">
        <f t="shared" si="6"/>
        <v>45734</v>
      </c>
      <c r="I195">
        <f t="shared" si="7"/>
        <v>12</v>
      </c>
    </row>
    <row r="196" spans="1:9" x14ac:dyDescent="0.2">
      <c r="A196">
        <v>20250318</v>
      </c>
      <c r="B196" t="s">
        <v>7</v>
      </c>
      <c r="C196" t="s">
        <v>8</v>
      </c>
      <c r="D196">
        <v>1</v>
      </c>
      <c r="E196">
        <v>66</v>
      </c>
      <c r="F196">
        <v>0</v>
      </c>
      <c r="G196">
        <v>0</v>
      </c>
      <c r="H196" s="1">
        <f t="shared" si="6"/>
        <v>45734</v>
      </c>
      <c r="I196">
        <f t="shared" si="7"/>
        <v>12</v>
      </c>
    </row>
    <row r="197" spans="1:9" x14ac:dyDescent="0.2">
      <c r="A197">
        <v>20250318</v>
      </c>
      <c r="B197" t="s">
        <v>9</v>
      </c>
      <c r="C197" t="s">
        <v>8</v>
      </c>
      <c r="D197">
        <v>2</v>
      </c>
      <c r="E197">
        <v>6</v>
      </c>
      <c r="F197">
        <v>0</v>
      </c>
      <c r="G197">
        <v>0</v>
      </c>
      <c r="H197" s="1">
        <f t="shared" si="6"/>
        <v>45734</v>
      </c>
      <c r="I197">
        <f t="shared" si="7"/>
        <v>12</v>
      </c>
    </row>
    <row r="198" spans="1:9" x14ac:dyDescent="0.2">
      <c r="A198">
        <v>20250318</v>
      </c>
      <c r="B198" t="s">
        <v>10</v>
      </c>
      <c r="C198" t="s">
        <v>26</v>
      </c>
      <c r="D198">
        <v>3</v>
      </c>
      <c r="E198">
        <v>1</v>
      </c>
      <c r="F198">
        <v>0</v>
      </c>
      <c r="G198">
        <v>1</v>
      </c>
      <c r="H198" s="1">
        <f t="shared" si="6"/>
        <v>45734</v>
      </c>
      <c r="I198">
        <f t="shared" si="7"/>
        <v>12</v>
      </c>
    </row>
    <row r="199" spans="1:9" x14ac:dyDescent="0.2">
      <c r="A199">
        <v>20250318</v>
      </c>
      <c r="B199" t="s">
        <v>10</v>
      </c>
      <c r="C199" t="s">
        <v>28</v>
      </c>
      <c r="D199">
        <v>1</v>
      </c>
      <c r="E199">
        <v>23</v>
      </c>
      <c r="F199">
        <v>0</v>
      </c>
      <c r="G199">
        <v>0</v>
      </c>
      <c r="H199" s="1">
        <f t="shared" si="6"/>
        <v>45734</v>
      </c>
      <c r="I199">
        <f t="shared" si="7"/>
        <v>12</v>
      </c>
    </row>
    <row r="200" spans="1:9" x14ac:dyDescent="0.2">
      <c r="A200">
        <v>20250319</v>
      </c>
      <c r="B200" t="s">
        <v>19</v>
      </c>
      <c r="C200" t="s">
        <v>8</v>
      </c>
      <c r="D200">
        <v>1</v>
      </c>
      <c r="E200">
        <v>1</v>
      </c>
      <c r="F200">
        <v>0</v>
      </c>
      <c r="G200">
        <v>0</v>
      </c>
      <c r="H200" s="1">
        <f t="shared" si="6"/>
        <v>45735</v>
      </c>
      <c r="I200">
        <f t="shared" si="7"/>
        <v>12</v>
      </c>
    </row>
    <row r="201" spans="1:9" x14ac:dyDescent="0.2">
      <c r="A201">
        <v>20250319</v>
      </c>
      <c r="B201" t="s">
        <v>12</v>
      </c>
      <c r="C201" t="s">
        <v>8</v>
      </c>
      <c r="D201">
        <v>3</v>
      </c>
      <c r="E201">
        <v>2</v>
      </c>
      <c r="F201">
        <v>0</v>
      </c>
      <c r="G201">
        <v>0</v>
      </c>
      <c r="H201" s="1">
        <f t="shared" si="6"/>
        <v>45735</v>
      </c>
      <c r="I201">
        <f t="shared" si="7"/>
        <v>12</v>
      </c>
    </row>
    <row r="202" spans="1:9" x14ac:dyDescent="0.2">
      <c r="A202">
        <v>20250319</v>
      </c>
      <c r="B202" t="s">
        <v>7</v>
      </c>
      <c r="C202" t="s">
        <v>8</v>
      </c>
      <c r="D202">
        <v>1</v>
      </c>
      <c r="E202">
        <v>13</v>
      </c>
      <c r="F202">
        <v>0</v>
      </c>
      <c r="G202">
        <v>0</v>
      </c>
      <c r="H202" s="1">
        <f t="shared" si="6"/>
        <v>45735</v>
      </c>
      <c r="I202">
        <f t="shared" si="7"/>
        <v>12</v>
      </c>
    </row>
    <row r="203" spans="1:9" x14ac:dyDescent="0.2">
      <c r="A203">
        <v>20250320</v>
      </c>
      <c r="B203" t="s">
        <v>10</v>
      </c>
      <c r="C203" t="s">
        <v>8</v>
      </c>
      <c r="D203">
        <v>1</v>
      </c>
      <c r="E203">
        <v>27</v>
      </c>
      <c r="F203">
        <v>0</v>
      </c>
      <c r="G203">
        <v>0</v>
      </c>
      <c r="H203" s="1">
        <f t="shared" si="6"/>
        <v>45736</v>
      </c>
      <c r="I203">
        <f t="shared" si="7"/>
        <v>12</v>
      </c>
    </row>
    <row r="204" spans="1:9" x14ac:dyDescent="0.2">
      <c r="A204">
        <v>20250321</v>
      </c>
      <c r="B204" t="s">
        <v>10</v>
      </c>
      <c r="C204" t="s">
        <v>8</v>
      </c>
      <c r="D204">
        <v>2</v>
      </c>
      <c r="E204">
        <v>40</v>
      </c>
      <c r="F204">
        <v>0</v>
      </c>
      <c r="G204">
        <v>0</v>
      </c>
      <c r="H204" s="1">
        <f t="shared" si="6"/>
        <v>45737</v>
      </c>
      <c r="I204">
        <f t="shared" si="7"/>
        <v>12</v>
      </c>
    </row>
    <row r="205" spans="1:9" x14ac:dyDescent="0.2">
      <c r="A205">
        <v>20250321</v>
      </c>
      <c r="B205" t="s">
        <v>10</v>
      </c>
      <c r="C205" t="s">
        <v>26</v>
      </c>
      <c r="D205">
        <v>1</v>
      </c>
      <c r="E205">
        <v>2</v>
      </c>
      <c r="F205">
        <v>0</v>
      </c>
      <c r="G205">
        <v>0</v>
      </c>
      <c r="H205" s="1">
        <f t="shared" si="6"/>
        <v>45737</v>
      </c>
      <c r="I205">
        <f t="shared" si="7"/>
        <v>12</v>
      </c>
    </row>
    <row r="206" spans="1:9" x14ac:dyDescent="0.2">
      <c r="A206">
        <v>20250322</v>
      </c>
      <c r="B206" t="s">
        <v>7</v>
      </c>
      <c r="C206" t="s">
        <v>8</v>
      </c>
      <c r="D206">
        <v>2</v>
      </c>
      <c r="E206">
        <v>15</v>
      </c>
      <c r="F206">
        <v>0</v>
      </c>
      <c r="G206">
        <v>0</v>
      </c>
      <c r="H206" s="1">
        <f t="shared" si="6"/>
        <v>45738</v>
      </c>
      <c r="I206">
        <f t="shared" si="7"/>
        <v>12</v>
      </c>
    </row>
    <row r="207" spans="1:9" x14ac:dyDescent="0.2">
      <c r="A207">
        <v>20250322</v>
      </c>
      <c r="B207" t="s">
        <v>23</v>
      </c>
      <c r="C207" t="s">
        <v>27</v>
      </c>
      <c r="D207">
        <v>3</v>
      </c>
      <c r="E207">
        <v>2</v>
      </c>
      <c r="F207">
        <v>0</v>
      </c>
      <c r="G207">
        <v>0</v>
      </c>
      <c r="H207" s="1">
        <f t="shared" si="6"/>
        <v>45738</v>
      </c>
      <c r="I207">
        <f t="shared" si="7"/>
        <v>12</v>
      </c>
    </row>
    <row r="208" spans="1:9" x14ac:dyDescent="0.2">
      <c r="A208">
        <v>20250323</v>
      </c>
      <c r="B208" t="s">
        <v>7</v>
      </c>
      <c r="C208" t="s">
        <v>8</v>
      </c>
      <c r="D208">
        <v>2</v>
      </c>
      <c r="E208">
        <v>14</v>
      </c>
      <c r="F208">
        <v>0</v>
      </c>
      <c r="G208">
        <v>0</v>
      </c>
      <c r="H208" s="1">
        <f t="shared" si="6"/>
        <v>45739</v>
      </c>
      <c r="I208">
        <f t="shared" si="7"/>
        <v>13</v>
      </c>
    </row>
    <row r="209" spans="1:9" x14ac:dyDescent="0.2">
      <c r="A209">
        <v>20250323</v>
      </c>
      <c r="B209" t="s">
        <v>9</v>
      </c>
      <c r="C209" t="s">
        <v>28</v>
      </c>
      <c r="D209">
        <v>1</v>
      </c>
      <c r="E209">
        <v>38</v>
      </c>
      <c r="F209">
        <v>0</v>
      </c>
      <c r="G209">
        <v>0</v>
      </c>
      <c r="H209" s="1">
        <f t="shared" si="6"/>
        <v>45739</v>
      </c>
      <c r="I209">
        <f t="shared" si="7"/>
        <v>13</v>
      </c>
    </row>
    <row r="210" spans="1:9" x14ac:dyDescent="0.2">
      <c r="A210">
        <v>20250324</v>
      </c>
      <c r="B210" t="s">
        <v>9</v>
      </c>
      <c r="C210" t="s">
        <v>13</v>
      </c>
      <c r="D210">
        <v>3</v>
      </c>
      <c r="E210">
        <v>2</v>
      </c>
      <c r="F210">
        <v>0</v>
      </c>
      <c r="G210">
        <v>1</v>
      </c>
      <c r="H210" s="1">
        <f t="shared" si="6"/>
        <v>45740</v>
      </c>
      <c r="I210">
        <f t="shared" si="7"/>
        <v>13</v>
      </c>
    </row>
    <row r="211" spans="1:9" x14ac:dyDescent="0.2">
      <c r="A211">
        <v>20250325</v>
      </c>
      <c r="B211" t="s">
        <v>7</v>
      </c>
      <c r="C211" t="s">
        <v>8</v>
      </c>
      <c r="D211">
        <v>1</v>
      </c>
      <c r="E211">
        <v>4</v>
      </c>
      <c r="F211">
        <v>0</v>
      </c>
      <c r="G211">
        <v>0</v>
      </c>
      <c r="H211" s="1">
        <f t="shared" si="6"/>
        <v>45741</v>
      </c>
      <c r="I211">
        <f t="shared" si="7"/>
        <v>13</v>
      </c>
    </row>
    <row r="212" spans="1:9" x14ac:dyDescent="0.2">
      <c r="A212">
        <v>20250325</v>
      </c>
      <c r="B212" t="s">
        <v>10</v>
      </c>
      <c r="C212" t="s">
        <v>26</v>
      </c>
      <c r="D212">
        <v>1</v>
      </c>
      <c r="E212">
        <v>80</v>
      </c>
      <c r="F212">
        <v>0</v>
      </c>
      <c r="G212">
        <v>0</v>
      </c>
      <c r="H212" s="1">
        <f t="shared" si="6"/>
        <v>45741</v>
      </c>
      <c r="I212">
        <f t="shared" si="7"/>
        <v>13</v>
      </c>
    </row>
    <row r="213" spans="1:9" x14ac:dyDescent="0.2">
      <c r="A213">
        <v>20250326</v>
      </c>
      <c r="B213" t="s">
        <v>7</v>
      </c>
      <c r="C213" t="s">
        <v>8</v>
      </c>
      <c r="D213">
        <v>1</v>
      </c>
      <c r="E213">
        <v>63</v>
      </c>
      <c r="F213">
        <v>0</v>
      </c>
      <c r="G213">
        <v>0</v>
      </c>
      <c r="H213" s="1">
        <f t="shared" si="6"/>
        <v>45742</v>
      </c>
      <c r="I213">
        <f t="shared" si="7"/>
        <v>13</v>
      </c>
    </row>
    <row r="214" spans="1:9" x14ac:dyDescent="0.2">
      <c r="A214">
        <v>20250326</v>
      </c>
      <c r="B214" t="s">
        <v>10</v>
      </c>
      <c r="C214" t="s">
        <v>24</v>
      </c>
      <c r="D214">
        <v>2</v>
      </c>
      <c r="E214">
        <v>31</v>
      </c>
      <c r="F214">
        <v>0</v>
      </c>
      <c r="G214">
        <v>0</v>
      </c>
      <c r="H214" s="1">
        <f t="shared" si="6"/>
        <v>45742</v>
      </c>
      <c r="I214">
        <f t="shared" si="7"/>
        <v>13</v>
      </c>
    </row>
    <row r="215" spans="1:9" x14ac:dyDescent="0.2">
      <c r="A215">
        <v>20250327</v>
      </c>
      <c r="B215" t="s">
        <v>7</v>
      </c>
      <c r="C215" t="s">
        <v>8</v>
      </c>
      <c r="D215">
        <v>5</v>
      </c>
      <c r="E215">
        <v>33</v>
      </c>
      <c r="F215">
        <v>0</v>
      </c>
      <c r="G215">
        <v>0</v>
      </c>
      <c r="H215" s="1">
        <f t="shared" si="6"/>
        <v>45743</v>
      </c>
      <c r="I215">
        <f t="shared" si="7"/>
        <v>13</v>
      </c>
    </row>
    <row r="216" spans="1:9" x14ac:dyDescent="0.2">
      <c r="A216">
        <v>20250327</v>
      </c>
      <c r="B216" t="s">
        <v>10</v>
      </c>
      <c r="C216" t="s">
        <v>22</v>
      </c>
      <c r="D216">
        <v>4</v>
      </c>
      <c r="E216">
        <v>2</v>
      </c>
      <c r="F216">
        <v>0</v>
      </c>
      <c r="G216">
        <v>0</v>
      </c>
      <c r="H216" s="1">
        <f t="shared" si="6"/>
        <v>45743</v>
      </c>
      <c r="I216">
        <f t="shared" si="7"/>
        <v>13</v>
      </c>
    </row>
    <row r="217" spans="1:9" x14ac:dyDescent="0.2">
      <c r="A217">
        <v>20250327</v>
      </c>
      <c r="B217" t="s">
        <v>10</v>
      </c>
      <c r="C217" t="s">
        <v>8</v>
      </c>
      <c r="D217">
        <v>1</v>
      </c>
      <c r="E217">
        <v>29</v>
      </c>
      <c r="F217">
        <v>0</v>
      </c>
      <c r="G217">
        <v>0</v>
      </c>
      <c r="H217" s="1">
        <f t="shared" si="6"/>
        <v>45743</v>
      </c>
      <c r="I217">
        <f t="shared" si="7"/>
        <v>13</v>
      </c>
    </row>
    <row r="218" spans="1:9" x14ac:dyDescent="0.2">
      <c r="A218">
        <v>20250328</v>
      </c>
      <c r="B218" t="s">
        <v>12</v>
      </c>
      <c r="C218" t="s">
        <v>20</v>
      </c>
      <c r="D218">
        <v>4</v>
      </c>
      <c r="E218">
        <v>36.25</v>
      </c>
      <c r="F218">
        <v>0</v>
      </c>
      <c r="G218">
        <v>0</v>
      </c>
      <c r="H218" s="1">
        <f t="shared" si="6"/>
        <v>45744</v>
      </c>
      <c r="I218">
        <f t="shared" si="7"/>
        <v>13</v>
      </c>
    </row>
    <row r="219" spans="1:9" x14ac:dyDescent="0.2">
      <c r="A219">
        <v>20250328</v>
      </c>
      <c r="B219" t="s">
        <v>7</v>
      </c>
      <c r="C219" t="s">
        <v>8</v>
      </c>
      <c r="D219">
        <v>1</v>
      </c>
      <c r="E219">
        <v>13</v>
      </c>
      <c r="F219">
        <v>0</v>
      </c>
      <c r="G219">
        <v>0</v>
      </c>
      <c r="H219" s="1">
        <f t="shared" si="6"/>
        <v>45744</v>
      </c>
      <c r="I219">
        <f t="shared" si="7"/>
        <v>13</v>
      </c>
    </row>
    <row r="220" spans="1:9" x14ac:dyDescent="0.2">
      <c r="A220">
        <v>20250328</v>
      </c>
      <c r="B220" t="s">
        <v>23</v>
      </c>
      <c r="C220" t="s">
        <v>8</v>
      </c>
      <c r="D220">
        <v>2</v>
      </c>
      <c r="E220">
        <v>8</v>
      </c>
      <c r="F220">
        <v>0</v>
      </c>
      <c r="G220">
        <v>0</v>
      </c>
      <c r="H220" s="1">
        <f t="shared" si="6"/>
        <v>45744</v>
      </c>
      <c r="I220">
        <f t="shared" si="7"/>
        <v>13</v>
      </c>
    </row>
    <row r="221" spans="1:9" x14ac:dyDescent="0.2">
      <c r="A221">
        <v>20250328</v>
      </c>
      <c r="B221" t="s">
        <v>9</v>
      </c>
      <c r="C221" t="s">
        <v>13</v>
      </c>
      <c r="D221">
        <v>2</v>
      </c>
      <c r="E221">
        <v>18.5</v>
      </c>
      <c r="F221">
        <v>0</v>
      </c>
      <c r="G221">
        <v>0</v>
      </c>
      <c r="H221" s="1">
        <f t="shared" si="6"/>
        <v>45744</v>
      </c>
      <c r="I221">
        <f t="shared" si="7"/>
        <v>13</v>
      </c>
    </row>
    <row r="222" spans="1:9" x14ac:dyDescent="0.2">
      <c r="A222">
        <v>20250328</v>
      </c>
      <c r="B222" t="s">
        <v>9</v>
      </c>
      <c r="C222" t="s">
        <v>8</v>
      </c>
      <c r="D222">
        <v>1</v>
      </c>
      <c r="E222">
        <v>39</v>
      </c>
      <c r="F222">
        <v>0</v>
      </c>
      <c r="G222">
        <v>0</v>
      </c>
      <c r="H222" s="1">
        <f t="shared" si="6"/>
        <v>45744</v>
      </c>
      <c r="I222">
        <f t="shared" si="7"/>
        <v>13</v>
      </c>
    </row>
    <row r="223" spans="1:9" x14ac:dyDescent="0.2">
      <c r="A223">
        <v>20250329</v>
      </c>
      <c r="B223" t="s">
        <v>7</v>
      </c>
      <c r="C223" t="s">
        <v>8</v>
      </c>
      <c r="D223">
        <v>1</v>
      </c>
      <c r="E223">
        <v>35</v>
      </c>
      <c r="F223">
        <v>0</v>
      </c>
      <c r="G223">
        <v>0</v>
      </c>
      <c r="H223" s="1">
        <f t="shared" si="6"/>
        <v>45745</v>
      </c>
      <c r="I223">
        <f t="shared" si="7"/>
        <v>13</v>
      </c>
    </row>
    <row r="224" spans="1:9" x14ac:dyDescent="0.2">
      <c r="A224">
        <v>20250329</v>
      </c>
      <c r="B224" t="s">
        <v>7</v>
      </c>
      <c r="C224" t="s">
        <v>22</v>
      </c>
      <c r="D224">
        <v>1</v>
      </c>
      <c r="E224">
        <v>18</v>
      </c>
      <c r="F224">
        <v>0</v>
      </c>
      <c r="G224">
        <v>0</v>
      </c>
      <c r="H224" s="1">
        <f t="shared" si="6"/>
        <v>45745</v>
      </c>
      <c r="I224">
        <f t="shared" si="7"/>
        <v>13</v>
      </c>
    </row>
    <row r="225" spans="1:9" x14ac:dyDescent="0.2">
      <c r="A225">
        <v>20250329</v>
      </c>
      <c r="B225" t="s">
        <v>9</v>
      </c>
      <c r="C225" t="s">
        <v>13</v>
      </c>
      <c r="D225">
        <v>1</v>
      </c>
      <c r="E225">
        <v>1</v>
      </c>
      <c r="F225">
        <v>0</v>
      </c>
      <c r="G225">
        <v>0</v>
      </c>
      <c r="H225" s="1">
        <f t="shared" si="6"/>
        <v>45745</v>
      </c>
      <c r="I225">
        <f t="shared" si="7"/>
        <v>13</v>
      </c>
    </row>
    <row r="226" spans="1:9" x14ac:dyDescent="0.2">
      <c r="A226">
        <v>20250329</v>
      </c>
      <c r="B226" t="s">
        <v>9</v>
      </c>
      <c r="C226" t="s">
        <v>15</v>
      </c>
      <c r="D226">
        <v>1</v>
      </c>
      <c r="E226">
        <v>2</v>
      </c>
      <c r="F226">
        <v>0</v>
      </c>
      <c r="G226">
        <v>0</v>
      </c>
      <c r="H226" s="1">
        <f t="shared" si="6"/>
        <v>45745</v>
      </c>
      <c r="I226">
        <f t="shared" si="7"/>
        <v>13</v>
      </c>
    </row>
    <row r="227" spans="1:9" x14ac:dyDescent="0.2">
      <c r="A227">
        <v>20250329</v>
      </c>
      <c r="B227" t="s">
        <v>10</v>
      </c>
      <c r="C227" t="s">
        <v>26</v>
      </c>
      <c r="D227">
        <v>1</v>
      </c>
      <c r="E227">
        <v>44</v>
      </c>
      <c r="F227">
        <v>0</v>
      </c>
      <c r="G227">
        <v>0</v>
      </c>
      <c r="H227" s="1">
        <f t="shared" si="6"/>
        <v>45745</v>
      </c>
      <c r="I227">
        <f t="shared" si="7"/>
        <v>13</v>
      </c>
    </row>
    <row r="228" spans="1:9" x14ac:dyDescent="0.2">
      <c r="A228">
        <v>20250330</v>
      </c>
      <c r="B228" t="s">
        <v>16</v>
      </c>
      <c r="C228" t="s">
        <v>8</v>
      </c>
      <c r="D228">
        <v>1</v>
      </c>
      <c r="E228">
        <v>24</v>
      </c>
      <c r="F228">
        <v>0</v>
      </c>
      <c r="G228">
        <v>0</v>
      </c>
      <c r="H228" s="1">
        <f t="shared" si="6"/>
        <v>45746</v>
      </c>
      <c r="I228">
        <f t="shared" si="7"/>
        <v>14</v>
      </c>
    </row>
    <row r="229" spans="1:9" x14ac:dyDescent="0.2">
      <c r="A229">
        <v>20250330</v>
      </c>
      <c r="B229" t="s">
        <v>7</v>
      </c>
      <c r="C229" t="s">
        <v>8</v>
      </c>
      <c r="D229">
        <v>3</v>
      </c>
      <c r="E229">
        <v>11</v>
      </c>
      <c r="F229">
        <v>0</v>
      </c>
      <c r="G229">
        <v>0</v>
      </c>
      <c r="H229" s="1">
        <f t="shared" si="6"/>
        <v>45746</v>
      </c>
      <c r="I229">
        <f t="shared" si="7"/>
        <v>14</v>
      </c>
    </row>
    <row r="230" spans="1:9" x14ac:dyDescent="0.2">
      <c r="A230">
        <v>20250330</v>
      </c>
      <c r="B230" t="s">
        <v>10</v>
      </c>
      <c r="C230" t="s">
        <v>11</v>
      </c>
      <c r="D230">
        <v>1</v>
      </c>
      <c r="E230">
        <v>38</v>
      </c>
      <c r="F230">
        <v>0</v>
      </c>
      <c r="G230">
        <v>0</v>
      </c>
      <c r="H230" s="1">
        <f t="shared" si="6"/>
        <v>45746</v>
      </c>
      <c r="I230">
        <f t="shared" si="7"/>
        <v>14</v>
      </c>
    </row>
    <row r="231" spans="1:9" x14ac:dyDescent="0.2">
      <c r="A231">
        <v>20250330</v>
      </c>
      <c r="B231" t="s">
        <v>10</v>
      </c>
      <c r="C231" t="s">
        <v>22</v>
      </c>
      <c r="D231">
        <v>1</v>
      </c>
      <c r="E231">
        <v>1</v>
      </c>
      <c r="F231">
        <v>0</v>
      </c>
      <c r="G231">
        <v>0</v>
      </c>
      <c r="H231" s="1">
        <f t="shared" si="6"/>
        <v>45746</v>
      </c>
      <c r="I231">
        <f t="shared" si="7"/>
        <v>14</v>
      </c>
    </row>
    <row r="232" spans="1:9" x14ac:dyDescent="0.2">
      <c r="A232">
        <v>20250331</v>
      </c>
      <c r="B232" t="s">
        <v>7</v>
      </c>
      <c r="C232" t="s">
        <v>8</v>
      </c>
      <c r="D232">
        <v>2</v>
      </c>
      <c r="E232">
        <v>67</v>
      </c>
      <c r="F232">
        <v>0</v>
      </c>
      <c r="G232">
        <v>0</v>
      </c>
      <c r="H232" s="1">
        <f t="shared" si="6"/>
        <v>45747</v>
      </c>
      <c r="I232">
        <f t="shared" si="7"/>
        <v>14</v>
      </c>
    </row>
    <row r="233" spans="1:9" x14ac:dyDescent="0.2">
      <c r="A233">
        <v>20250331</v>
      </c>
      <c r="B233" t="s">
        <v>10</v>
      </c>
      <c r="C233" t="s">
        <v>13</v>
      </c>
      <c r="D233">
        <v>1</v>
      </c>
      <c r="E233">
        <v>2</v>
      </c>
      <c r="F233">
        <v>0</v>
      </c>
      <c r="G233">
        <v>0</v>
      </c>
      <c r="H233" s="1">
        <f t="shared" si="6"/>
        <v>45747</v>
      </c>
      <c r="I233">
        <f t="shared" si="7"/>
        <v>14</v>
      </c>
    </row>
    <row r="234" spans="1:9" x14ac:dyDescent="0.2">
      <c r="A234">
        <v>20250401</v>
      </c>
      <c r="B234" t="s">
        <v>16</v>
      </c>
      <c r="C234" t="s">
        <v>8</v>
      </c>
      <c r="D234">
        <v>4</v>
      </c>
      <c r="E234">
        <v>31.75</v>
      </c>
      <c r="F234">
        <v>0</v>
      </c>
      <c r="G234">
        <v>0</v>
      </c>
      <c r="H234" s="1">
        <f t="shared" si="6"/>
        <v>45748</v>
      </c>
      <c r="I234">
        <f t="shared" si="7"/>
        <v>14</v>
      </c>
    </row>
    <row r="235" spans="1:9" x14ac:dyDescent="0.2">
      <c r="A235">
        <v>20250401</v>
      </c>
      <c r="B235" t="s">
        <v>16</v>
      </c>
      <c r="C235" t="s">
        <v>27</v>
      </c>
      <c r="D235">
        <v>1</v>
      </c>
      <c r="E235">
        <v>85</v>
      </c>
      <c r="F235">
        <v>0</v>
      </c>
      <c r="G235">
        <v>0</v>
      </c>
      <c r="H235" s="1">
        <f t="shared" si="6"/>
        <v>45748</v>
      </c>
      <c r="I235">
        <f t="shared" si="7"/>
        <v>14</v>
      </c>
    </row>
    <row r="236" spans="1:9" x14ac:dyDescent="0.2">
      <c r="A236">
        <v>20250401</v>
      </c>
      <c r="B236" t="s">
        <v>7</v>
      </c>
      <c r="C236" t="s">
        <v>8</v>
      </c>
      <c r="D236">
        <v>2</v>
      </c>
      <c r="E236">
        <v>28.5</v>
      </c>
      <c r="F236">
        <v>0</v>
      </c>
      <c r="G236">
        <v>0</v>
      </c>
      <c r="H236" s="1">
        <f t="shared" si="6"/>
        <v>45748</v>
      </c>
      <c r="I236">
        <f t="shared" si="7"/>
        <v>14</v>
      </c>
    </row>
    <row r="237" spans="1:9" x14ac:dyDescent="0.2">
      <c r="A237">
        <v>20250401</v>
      </c>
      <c r="B237" t="s">
        <v>9</v>
      </c>
      <c r="C237" t="s">
        <v>15</v>
      </c>
      <c r="D237">
        <v>2</v>
      </c>
      <c r="E237">
        <v>1</v>
      </c>
      <c r="F237">
        <v>0</v>
      </c>
      <c r="G237">
        <v>0</v>
      </c>
      <c r="H237" s="1">
        <f t="shared" si="6"/>
        <v>45748</v>
      </c>
      <c r="I237">
        <f t="shared" si="7"/>
        <v>14</v>
      </c>
    </row>
    <row r="238" spans="1:9" x14ac:dyDescent="0.2">
      <c r="A238">
        <v>20250401</v>
      </c>
      <c r="B238" t="s">
        <v>10</v>
      </c>
      <c r="C238" t="s">
        <v>13</v>
      </c>
      <c r="D238">
        <v>1</v>
      </c>
      <c r="E238">
        <v>95</v>
      </c>
      <c r="F238">
        <v>0</v>
      </c>
      <c r="G238">
        <v>0</v>
      </c>
      <c r="H238" s="1">
        <f t="shared" si="6"/>
        <v>45748</v>
      </c>
      <c r="I238">
        <f t="shared" si="7"/>
        <v>14</v>
      </c>
    </row>
    <row r="239" spans="1:9" x14ac:dyDescent="0.2">
      <c r="A239">
        <v>20250402</v>
      </c>
      <c r="B239" t="s">
        <v>16</v>
      </c>
      <c r="C239" t="s">
        <v>17</v>
      </c>
      <c r="D239">
        <v>4</v>
      </c>
      <c r="E239">
        <v>2</v>
      </c>
      <c r="F239">
        <v>0</v>
      </c>
      <c r="G239">
        <v>0</v>
      </c>
      <c r="H239" s="1">
        <f t="shared" si="6"/>
        <v>45749</v>
      </c>
      <c r="I239">
        <f t="shared" si="7"/>
        <v>14</v>
      </c>
    </row>
    <row r="240" spans="1:9" x14ac:dyDescent="0.2">
      <c r="A240">
        <v>20250402</v>
      </c>
      <c r="B240" t="s">
        <v>16</v>
      </c>
      <c r="C240" t="s">
        <v>8</v>
      </c>
      <c r="D240">
        <v>2</v>
      </c>
      <c r="E240">
        <v>1</v>
      </c>
      <c r="F240">
        <v>0</v>
      </c>
      <c r="G240">
        <v>0</v>
      </c>
      <c r="H240" s="1">
        <f t="shared" si="6"/>
        <v>45749</v>
      </c>
      <c r="I240">
        <f t="shared" si="7"/>
        <v>14</v>
      </c>
    </row>
    <row r="241" spans="1:9" x14ac:dyDescent="0.2">
      <c r="A241">
        <v>20250402</v>
      </c>
      <c r="B241" t="s">
        <v>7</v>
      </c>
      <c r="C241" t="s">
        <v>8</v>
      </c>
      <c r="D241">
        <v>1</v>
      </c>
      <c r="E241">
        <v>21</v>
      </c>
      <c r="F241">
        <v>0</v>
      </c>
      <c r="G241">
        <v>0</v>
      </c>
      <c r="H241" s="1">
        <f t="shared" si="6"/>
        <v>45749</v>
      </c>
      <c r="I241">
        <f t="shared" si="7"/>
        <v>14</v>
      </c>
    </row>
    <row r="242" spans="1:9" x14ac:dyDescent="0.2">
      <c r="A242">
        <v>20250402</v>
      </c>
      <c r="B242" t="s">
        <v>10</v>
      </c>
      <c r="C242" t="s">
        <v>8</v>
      </c>
      <c r="D242">
        <v>1</v>
      </c>
      <c r="E242">
        <v>1</v>
      </c>
      <c r="F242">
        <v>0</v>
      </c>
      <c r="G242">
        <v>0</v>
      </c>
      <c r="H242" s="1">
        <f t="shared" si="6"/>
        <v>45749</v>
      </c>
      <c r="I242">
        <f t="shared" si="7"/>
        <v>14</v>
      </c>
    </row>
    <row r="243" spans="1:9" x14ac:dyDescent="0.2">
      <c r="A243">
        <v>20250403</v>
      </c>
      <c r="B243" t="s">
        <v>16</v>
      </c>
      <c r="C243" t="s">
        <v>26</v>
      </c>
      <c r="D243">
        <v>2</v>
      </c>
      <c r="E243">
        <v>2</v>
      </c>
      <c r="F243">
        <v>0</v>
      </c>
      <c r="G243">
        <v>0</v>
      </c>
      <c r="H243" s="1">
        <f t="shared" si="6"/>
        <v>45750</v>
      </c>
      <c r="I243">
        <f t="shared" si="7"/>
        <v>14</v>
      </c>
    </row>
    <row r="244" spans="1:9" x14ac:dyDescent="0.2">
      <c r="A244">
        <v>20250403</v>
      </c>
      <c r="B244" t="s">
        <v>9</v>
      </c>
      <c r="C244" t="s">
        <v>13</v>
      </c>
      <c r="D244">
        <v>3</v>
      </c>
      <c r="E244">
        <v>11.3333333333333</v>
      </c>
      <c r="F244">
        <v>0</v>
      </c>
      <c r="G244">
        <v>0</v>
      </c>
      <c r="H244" s="1">
        <f t="shared" si="6"/>
        <v>45750</v>
      </c>
      <c r="I244">
        <f t="shared" si="7"/>
        <v>14</v>
      </c>
    </row>
    <row r="245" spans="1:9" x14ac:dyDescent="0.2">
      <c r="A245">
        <v>20250404</v>
      </c>
      <c r="B245" t="s">
        <v>7</v>
      </c>
      <c r="C245" t="s">
        <v>20</v>
      </c>
      <c r="D245">
        <v>1</v>
      </c>
      <c r="E245">
        <v>86</v>
      </c>
      <c r="F245">
        <v>0</v>
      </c>
      <c r="G245">
        <v>0</v>
      </c>
      <c r="H245" s="1">
        <f t="shared" si="6"/>
        <v>45751</v>
      </c>
      <c r="I245">
        <f t="shared" si="7"/>
        <v>14</v>
      </c>
    </row>
    <row r="246" spans="1:9" x14ac:dyDescent="0.2">
      <c r="A246">
        <v>20250404</v>
      </c>
      <c r="B246" t="s">
        <v>7</v>
      </c>
      <c r="C246" t="s">
        <v>8</v>
      </c>
      <c r="D246">
        <v>1</v>
      </c>
      <c r="E246">
        <v>15</v>
      </c>
      <c r="F246">
        <v>0</v>
      </c>
      <c r="G246">
        <v>0</v>
      </c>
      <c r="H246" s="1">
        <f t="shared" si="6"/>
        <v>45751</v>
      </c>
      <c r="I246">
        <f t="shared" si="7"/>
        <v>14</v>
      </c>
    </row>
    <row r="247" spans="1:9" x14ac:dyDescent="0.2">
      <c r="A247">
        <v>20250404</v>
      </c>
      <c r="B247" t="s">
        <v>9</v>
      </c>
      <c r="C247" t="s">
        <v>13</v>
      </c>
      <c r="D247">
        <v>1</v>
      </c>
      <c r="E247">
        <v>80</v>
      </c>
      <c r="F247">
        <v>0</v>
      </c>
      <c r="G247">
        <v>0</v>
      </c>
      <c r="H247" s="1">
        <f t="shared" si="6"/>
        <v>45751</v>
      </c>
      <c r="I247">
        <f t="shared" si="7"/>
        <v>14</v>
      </c>
    </row>
    <row r="248" spans="1:9" x14ac:dyDescent="0.2">
      <c r="A248">
        <v>20250404</v>
      </c>
      <c r="B248" t="s">
        <v>10</v>
      </c>
      <c r="C248" t="s">
        <v>8</v>
      </c>
      <c r="D248">
        <v>1</v>
      </c>
      <c r="E248">
        <v>34</v>
      </c>
      <c r="F248">
        <v>0</v>
      </c>
      <c r="G248">
        <v>0</v>
      </c>
      <c r="H248" s="1">
        <f t="shared" si="6"/>
        <v>45751</v>
      </c>
      <c r="I248">
        <f t="shared" si="7"/>
        <v>14</v>
      </c>
    </row>
    <row r="249" spans="1:9" x14ac:dyDescent="0.2">
      <c r="A249">
        <v>20250405</v>
      </c>
      <c r="B249" t="s">
        <v>7</v>
      </c>
      <c r="C249" t="s">
        <v>8</v>
      </c>
      <c r="D249">
        <v>3</v>
      </c>
      <c r="E249">
        <v>39</v>
      </c>
      <c r="F249">
        <v>0</v>
      </c>
      <c r="G249">
        <v>0</v>
      </c>
      <c r="H249" s="1">
        <f t="shared" si="6"/>
        <v>45752</v>
      </c>
      <c r="I249">
        <f t="shared" si="7"/>
        <v>14</v>
      </c>
    </row>
    <row r="250" spans="1:9" x14ac:dyDescent="0.2">
      <c r="A250">
        <v>20250405</v>
      </c>
      <c r="B250" t="s">
        <v>9</v>
      </c>
      <c r="C250" t="s">
        <v>13</v>
      </c>
      <c r="D250">
        <v>3</v>
      </c>
      <c r="E250">
        <v>50.6666666666666</v>
      </c>
      <c r="F250">
        <v>0</v>
      </c>
      <c r="G250">
        <v>0</v>
      </c>
      <c r="H250" s="1">
        <f t="shared" si="6"/>
        <v>45752</v>
      </c>
      <c r="I250">
        <f t="shared" si="7"/>
        <v>14</v>
      </c>
    </row>
    <row r="251" spans="1:9" x14ac:dyDescent="0.2">
      <c r="A251">
        <v>20250405</v>
      </c>
      <c r="B251" t="s">
        <v>10</v>
      </c>
      <c r="C251" t="s">
        <v>8</v>
      </c>
      <c r="D251">
        <v>4</v>
      </c>
      <c r="E251">
        <v>1</v>
      </c>
      <c r="F251">
        <v>0</v>
      </c>
      <c r="G251">
        <v>0</v>
      </c>
      <c r="H251" s="1">
        <f t="shared" si="6"/>
        <v>45752</v>
      </c>
      <c r="I251">
        <f t="shared" si="7"/>
        <v>14</v>
      </c>
    </row>
    <row r="252" spans="1:9" x14ac:dyDescent="0.2">
      <c r="A252">
        <v>20250406</v>
      </c>
      <c r="B252" t="s">
        <v>7</v>
      </c>
      <c r="C252" t="s">
        <v>8</v>
      </c>
      <c r="D252">
        <v>4</v>
      </c>
      <c r="E252">
        <v>16</v>
      </c>
      <c r="F252">
        <v>0</v>
      </c>
      <c r="G252">
        <v>0</v>
      </c>
      <c r="H252" s="1">
        <f t="shared" si="6"/>
        <v>45753</v>
      </c>
      <c r="I252">
        <f t="shared" si="7"/>
        <v>15</v>
      </c>
    </row>
    <row r="253" spans="1:9" x14ac:dyDescent="0.2">
      <c r="A253">
        <v>20250406</v>
      </c>
      <c r="B253" t="s">
        <v>14</v>
      </c>
      <c r="C253" t="s">
        <v>15</v>
      </c>
      <c r="D253">
        <v>3</v>
      </c>
      <c r="E253">
        <v>1</v>
      </c>
      <c r="F253">
        <v>0</v>
      </c>
      <c r="G253">
        <v>0</v>
      </c>
      <c r="H253" s="1">
        <f t="shared" si="6"/>
        <v>45753</v>
      </c>
      <c r="I253">
        <f t="shared" si="7"/>
        <v>15</v>
      </c>
    </row>
    <row r="254" spans="1:9" x14ac:dyDescent="0.2">
      <c r="A254">
        <v>20250406</v>
      </c>
      <c r="B254" t="s">
        <v>9</v>
      </c>
      <c r="C254" t="s">
        <v>13</v>
      </c>
      <c r="D254">
        <v>2</v>
      </c>
      <c r="E254">
        <v>14</v>
      </c>
      <c r="F254">
        <v>0</v>
      </c>
      <c r="G254">
        <v>0</v>
      </c>
      <c r="H254" s="1">
        <f t="shared" si="6"/>
        <v>45753</v>
      </c>
      <c r="I254">
        <f t="shared" si="7"/>
        <v>15</v>
      </c>
    </row>
    <row r="255" spans="1:9" x14ac:dyDescent="0.2">
      <c r="A255">
        <v>20250406</v>
      </c>
      <c r="B255" t="s">
        <v>9</v>
      </c>
      <c r="C255" t="s">
        <v>15</v>
      </c>
      <c r="D255">
        <v>2</v>
      </c>
      <c r="E255">
        <v>1</v>
      </c>
      <c r="F255">
        <v>0</v>
      </c>
      <c r="G255">
        <v>0</v>
      </c>
      <c r="H255" s="1">
        <f t="shared" si="6"/>
        <v>45753</v>
      </c>
      <c r="I255">
        <f t="shared" si="7"/>
        <v>15</v>
      </c>
    </row>
    <row r="256" spans="1:9" x14ac:dyDescent="0.2">
      <c r="A256">
        <v>20250406</v>
      </c>
      <c r="B256" t="s">
        <v>9</v>
      </c>
      <c r="C256" t="s">
        <v>8</v>
      </c>
      <c r="D256">
        <v>2</v>
      </c>
      <c r="E256">
        <v>1</v>
      </c>
      <c r="F256">
        <v>0</v>
      </c>
      <c r="G256">
        <v>0</v>
      </c>
      <c r="H256" s="1">
        <f t="shared" si="6"/>
        <v>45753</v>
      </c>
      <c r="I256">
        <f t="shared" si="7"/>
        <v>15</v>
      </c>
    </row>
    <row r="257" spans="1:9" x14ac:dyDescent="0.2">
      <c r="A257">
        <v>20250406</v>
      </c>
      <c r="B257" t="s">
        <v>10</v>
      </c>
      <c r="C257" t="s">
        <v>8</v>
      </c>
      <c r="D257">
        <v>1</v>
      </c>
      <c r="E257">
        <v>32</v>
      </c>
      <c r="F257">
        <v>0</v>
      </c>
      <c r="G257">
        <v>1</v>
      </c>
      <c r="H257" s="1">
        <f t="shared" si="6"/>
        <v>45753</v>
      </c>
      <c r="I257">
        <f t="shared" si="7"/>
        <v>15</v>
      </c>
    </row>
    <row r="258" spans="1:9" x14ac:dyDescent="0.2">
      <c r="A258">
        <v>20250407</v>
      </c>
      <c r="B258" t="s">
        <v>16</v>
      </c>
      <c r="C258" t="s">
        <v>8</v>
      </c>
      <c r="D258">
        <v>1</v>
      </c>
      <c r="E258">
        <v>25</v>
      </c>
      <c r="F258">
        <v>0</v>
      </c>
      <c r="G258">
        <v>0</v>
      </c>
      <c r="H258" s="1">
        <f t="shared" ref="H258:H321" si="8">DATE(LEFT(A258,4),MID(A258,5,2),RIGHT(A258,2))</f>
        <v>45754</v>
      </c>
      <c r="I258">
        <f t="shared" ref="I258:I321" si="9">WEEKNUM(H258)</f>
        <v>15</v>
      </c>
    </row>
    <row r="259" spans="1:9" x14ac:dyDescent="0.2">
      <c r="A259">
        <v>20250407</v>
      </c>
      <c r="B259" t="s">
        <v>7</v>
      </c>
      <c r="C259" t="s">
        <v>8</v>
      </c>
      <c r="D259">
        <v>4</v>
      </c>
      <c r="E259">
        <v>10.5</v>
      </c>
      <c r="F259">
        <v>0</v>
      </c>
      <c r="G259">
        <v>0</v>
      </c>
      <c r="H259" s="1">
        <f t="shared" si="8"/>
        <v>45754</v>
      </c>
      <c r="I259">
        <f t="shared" si="9"/>
        <v>15</v>
      </c>
    </row>
    <row r="260" spans="1:9" x14ac:dyDescent="0.2">
      <c r="A260">
        <v>20250407</v>
      </c>
      <c r="B260" t="s">
        <v>7</v>
      </c>
      <c r="C260" t="s">
        <v>24</v>
      </c>
      <c r="D260">
        <v>1</v>
      </c>
      <c r="E260">
        <v>30</v>
      </c>
      <c r="F260">
        <v>0</v>
      </c>
      <c r="G260">
        <v>0</v>
      </c>
      <c r="H260" s="1">
        <f t="shared" si="8"/>
        <v>45754</v>
      </c>
      <c r="I260">
        <f t="shared" si="9"/>
        <v>15</v>
      </c>
    </row>
    <row r="261" spans="1:9" x14ac:dyDescent="0.2">
      <c r="A261">
        <v>20250407</v>
      </c>
      <c r="B261" t="s">
        <v>9</v>
      </c>
      <c r="C261" t="s">
        <v>13</v>
      </c>
      <c r="D261">
        <v>3</v>
      </c>
      <c r="E261">
        <v>52</v>
      </c>
      <c r="F261">
        <v>0</v>
      </c>
      <c r="G261">
        <v>0</v>
      </c>
      <c r="H261" s="1">
        <f t="shared" si="8"/>
        <v>45754</v>
      </c>
      <c r="I261">
        <f t="shared" si="9"/>
        <v>15</v>
      </c>
    </row>
    <row r="262" spans="1:9" x14ac:dyDescent="0.2">
      <c r="A262">
        <v>20250407</v>
      </c>
      <c r="B262" t="s">
        <v>10</v>
      </c>
      <c r="C262" t="s">
        <v>17</v>
      </c>
      <c r="D262">
        <v>3</v>
      </c>
      <c r="E262">
        <v>2</v>
      </c>
      <c r="F262">
        <v>0</v>
      </c>
      <c r="G262">
        <v>0</v>
      </c>
      <c r="H262" s="1">
        <f t="shared" si="8"/>
        <v>45754</v>
      </c>
      <c r="I262">
        <f t="shared" si="9"/>
        <v>15</v>
      </c>
    </row>
    <row r="263" spans="1:9" x14ac:dyDescent="0.2">
      <c r="A263">
        <v>20250407</v>
      </c>
      <c r="B263" t="s">
        <v>10</v>
      </c>
      <c r="C263" t="s">
        <v>24</v>
      </c>
      <c r="D263">
        <v>1</v>
      </c>
      <c r="E263">
        <v>80</v>
      </c>
      <c r="F263">
        <v>0</v>
      </c>
      <c r="G263">
        <v>0</v>
      </c>
      <c r="H263" s="1">
        <f t="shared" si="8"/>
        <v>45754</v>
      </c>
      <c r="I263">
        <f t="shared" si="9"/>
        <v>15</v>
      </c>
    </row>
    <row r="264" spans="1:9" x14ac:dyDescent="0.2">
      <c r="A264">
        <v>20250408</v>
      </c>
      <c r="B264" t="s">
        <v>16</v>
      </c>
      <c r="C264" t="s">
        <v>22</v>
      </c>
      <c r="D264">
        <v>1</v>
      </c>
      <c r="E264">
        <v>2</v>
      </c>
      <c r="F264">
        <v>0</v>
      </c>
      <c r="G264">
        <v>0</v>
      </c>
      <c r="H264" s="1">
        <f t="shared" si="8"/>
        <v>45755</v>
      </c>
      <c r="I264">
        <f t="shared" si="9"/>
        <v>15</v>
      </c>
    </row>
    <row r="265" spans="1:9" x14ac:dyDescent="0.2">
      <c r="A265">
        <v>20250408</v>
      </c>
      <c r="B265" t="s">
        <v>7</v>
      </c>
      <c r="C265" t="s">
        <v>8</v>
      </c>
      <c r="D265">
        <v>1</v>
      </c>
      <c r="E265">
        <v>12</v>
      </c>
      <c r="F265">
        <v>0</v>
      </c>
      <c r="G265">
        <v>0</v>
      </c>
      <c r="H265" s="1">
        <f t="shared" si="8"/>
        <v>45755</v>
      </c>
      <c r="I265">
        <f t="shared" si="9"/>
        <v>15</v>
      </c>
    </row>
    <row r="266" spans="1:9" x14ac:dyDescent="0.2">
      <c r="A266">
        <v>20250409</v>
      </c>
      <c r="B266" t="s">
        <v>9</v>
      </c>
      <c r="C266" t="s">
        <v>13</v>
      </c>
      <c r="D266">
        <v>1</v>
      </c>
      <c r="E266">
        <v>17</v>
      </c>
      <c r="F266">
        <v>0</v>
      </c>
      <c r="G266">
        <v>0</v>
      </c>
      <c r="H266" s="1">
        <f t="shared" si="8"/>
        <v>45756</v>
      </c>
      <c r="I266">
        <f t="shared" si="9"/>
        <v>15</v>
      </c>
    </row>
    <row r="267" spans="1:9" x14ac:dyDescent="0.2">
      <c r="A267">
        <v>20250409</v>
      </c>
      <c r="B267" t="s">
        <v>10</v>
      </c>
      <c r="C267" t="s">
        <v>8</v>
      </c>
      <c r="D267">
        <v>2</v>
      </c>
      <c r="E267">
        <v>27</v>
      </c>
      <c r="F267">
        <v>0</v>
      </c>
      <c r="G267">
        <v>0</v>
      </c>
      <c r="H267" s="1">
        <f t="shared" si="8"/>
        <v>45756</v>
      </c>
      <c r="I267">
        <f t="shared" si="9"/>
        <v>15</v>
      </c>
    </row>
    <row r="268" spans="1:9" x14ac:dyDescent="0.2">
      <c r="A268">
        <v>20250409</v>
      </c>
      <c r="B268" t="s">
        <v>10</v>
      </c>
      <c r="C268" t="s">
        <v>28</v>
      </c>
      <c r="D268">
        <v>1</v>
      </c>
      <c r="E268">
        <v>20</v>
      </c>
      <c r="F268">
        <v>0</v>
      </c>
      <c r="G268">
        <v>0</v>
      </c>
      <c r="H268" s="1">
        <f t="shared" si="8"/>
        <v>45756</v>
      </c>
      <c r="I268">
        <f t="shared" si="9"/>
        <v>15</v>
      </c>
    </row>
    <row r="269" spans="1:9" x14ac:dyDescent="0.2">
      <c r="A269">
        <v>20250410</v>
      </c>
      <c r="B269" t="s">
        <v>7</v>
      </c>
      <c r="C269" t="s">
        <v>17</v>
      </c>
      <c r="D269">
        <v>3</v>
      </c>
      <c r="E269">
        <v>1</v>
      </c>
      <c r="F269">
        <v>0</v>
      </c>
      <c r="G269">
        <v>0</v>
      </c>
      <c r="H269" s="1">
        <f t="shared" si="8"/>
        <v>45757</v>
      </c>
      <c r="I269">
        <f t="shared" si="9"/>
        <v>15</v>
      </c>
    </row>
    <row r="270" spans="1:9" x14ac:dyDescent="0.2">
      <c r="A270">
        <v>20250410</v>
      </c>
      <c r="B270" t="s">
        <v>10</v>
      </c>
      <c r="C270" t="s">
        <v>22</v>
      </c>
      <c r="D270">
        <v>3</v>
      </c>
      <c r="E270">
        <v>2</v>
      </c>
      <c r="F270">
        <v>0</v>
      </c>
      <c r="G270">
        <v>0</v>
      </c>
      <c r="H270" s="1">
        <f t="shared" si="8"/>
        <v>45757</v>
      </c>
      <c r="I270">
        <f t="shared" si="9"/>
        <v>15</v>
      </c>
    </row>
    <row r="271" spans="1:9" x14ac:dyDescent="0.2">
      <c r="A271">
        <v>20250411</v>
      </c>
      <c r="B271" t="s">
        <v>7</v>
      </c>
      <c r="C271" t="s">
        <v>17</v>
      </c>
      <c r="D271">
        <v>1</v>
      </c>
      <c r="E271">
        <v>11</v>
      </c>
      <c r="F271">
        <v>0</v>
      </c>
      <c r="G271">
        <v>0</v>
      </c>
      <c r="H271" s="1">
        <f t="shared" si="8"/>
        <v>45758</v>
      </c>
      <c r="I271">
        <f t="shared" si="9"/>
        <v>15</v>
      </c>
    </row>
    <row r="272" spans="1:9" x14ac:dyDescent="0.2">
      <c r="A272">
        <v>20250411</v>
      </c>
      <c r="B272" t="s">
        <v>7</v>
      </c>
      <c r="C272" t="s">
        <v>8</v>
      </c>
      <c r="D272">
        <v>1</v>
      </c>
      <c r="E272">
        <v>29</v>
      </c>
      <c r="F272">
        <v>0</v>
      </c>
      <c r="G272">
        <v>0</v>
      </c>
      <c r="H272" s="1">
        <f t="shared" si="8"/>
        <v>45758</v>
      </c>
      <c r="I272">
        <f t="shared" si="9"/>
        <v>15</v>
      </c>
    </row>
    <row r="273" spans="1:9" x14ac:dyDescent="0.2">
      <c r="A273">
        <v>20250412</v>
      </c>
      <c r="B273" t="s">
        <v>19</v>
      </c>
      <c r="C273" t="s">
        <v>8</v>
      </c>
      <c r="D273">
        <v>2</v>
      </c>
      <c r="E273">
        <v>20</v>
      </c>
      <c r="F273">
        <v>0</v>
      </c>
      <c r="G273">
        <v>0</v>
      </c>
      <c r="H273" s="1">
        <f t="shared" si="8"/>
        <v>45759</v>
      </c>
      <c r="I273">
        <f t="shared" si="9"/>
        <v>15</v>
      </c>
    </row>
    <row r="274" spans="1:9" x14ac:dyDescent="0.2">
      <c r="A274">
        <v>20250412</v>
      </c>
      <c r="B274" t="s">
        <v>16</v>
      </c>
      <c r="C274" t="s">
        <v>8</v>
      </c>
      <c r="D274">
        <v>1</v>
      </c>
      <c r="E274">
        <v>1</v>
      </c>
      <c r="F274">
        <v>0</v>
      </c>
      <c r="G274">
        <v>0</v>
      </c>
      <c r="H274" s="1">
        <f t="shared" si="8"/>
        <v>45759</v>
      </c>
      <c r="I274">
        <f t="shared" si="9"/>
        <v>15</v>
      </c>
    </row>
    <row r="275" spans="1:9" x14ac:dyDescent="0.2">
      <c r="A275">
        <v>20250412</v>
      </c>
      <c r="B275" t="s">
        <v>9</v>
      </c>
      <c r="C275" t="s">
        <v>13</v>
      </c>
      <c r="D275">
        <v>3</v>
      </c>
      <c r="E275">
        <v>1</v>
      </c>
      <c r="F275">
        <v>0</v>
      </c>
      <c r="G275">
        <v>0</v>
      </c>
      <c r="H275" s="1">
        <f t="shared" si="8"/>
        <v>45759</v>
      </c>
      <c r="I275">
        <f t="shared" si="9"/>
        <v>15</v>
      </c>
    </row>
    <row r="276" spans="1:9" x14ac:dyDescent="0.2">
      <c r="A276">
        <v>20250413</v>
      </c>
      <c r="B276" t="s">
        <v>7</v>
      </c>
      <c r="C276" t="s">
        <v>8</v>
      </c>
      <c r="D276">
        <v>1</v>
      </c>
      <c r="E276">
        <v>15</v>
      </c>
      <c r="F276">
        <v>0</v>
      </c>
      <c r="G276">
        <v>0</v>
      </c>
      <c r="H276" s="1">
        <f t="shared" si="8"/>
        <v>45760</v>
      </c>
      <c r="I276">
        <f t="shared" si="9"/>
        <v>16</v>
      </c>
    </row>
    <row r="277" spans="1:9" x14ac:dyDescent="0.2">
      <c r="A277">
        <v>20250413</v>
      </c>
      <c r="B277" t="s">
        <v>10</v>
      </c>
      <c r="C277" t="s">
        <v>31</v>
      </c>
      <c r="D277">
        <v>1</v>
      </c>
      <c r="E277">
        <v>1</v>
      </c>
      <c r="F277">
        <v>0</v>
      </c>
      <c r="G277">
        <v>0</v>
      </c>
      <c r="H277" s="1">
        <f t="shared" si="8"/>
        <v>45760</v>
      </c>
      <c r="I277">
        <f t="shared" si="9"/>
        <v>16</v>
      </c>
    </row>
    <row r="278" spans="1:9" x14ac:dyDescent="0.2">
      <c r="A278">
        <v>20250414</v>
      </c>
      <c r="B278" t="s">
        <v>12</v>
      </c>
      <c r="C278" t="s">
        <v>15</v>
      </c>
      <c r="D278">
        <v>1</v>
      </c>
      <c r="E278">
        <v>1</v>
      </c>
      <c r="F278">
        <v>0</v>
      </c>
      <c r="G278">
        <v>0</v>
      </c>
      <c r="H278" s="1">
        <f t="shared" si="8"/>
        <v>45761</v>
      </c>
      <c r="I278">
        <f t="shared" si="9"/>
        <v>16</v>
      </c>
    </row>
    <row r="279" spans="1:9" x14ac:dyDescent="0.2">
      <c r="A279">
        <v>20250414</v>
      </c>
      <c r="B279" t="s">
        <v>16</v>
      </c>
      <c r="C279" t="s">
        <v>8</v>
      </c>
      <c r="D279">
        <v>1</v>
      </c>
      <c r="E279">
        <v>1</v>
      </c>
      <c r="F279">
        <v>0</v>
      </c>
      <c r="G279">
        <v>0</v>
      </c>
      <c r="H279" s="1">
        <f t="shared" si="8"/>
        <v>45761</v>
      </c>
      <c r="I279">
        <f t="shared" si="9"/>
        <v>16</v>
      </c>
    </row>
    <row r="280" spans="1:9" x14ac:dyDescent="0.2">
      <c r="A280">
        <v>20250414</v>
      </c>
      <c r="B280" t="s">
        <v>7</v>
      </c>
      <c r="C280" t="s">
        <v>8</v>
      </c>
      <c r="D280">
        <v>1</v>
      </c>
      <c r="E280">
        <v>23</v>
      </c>
      <c r="F280">
        <v>0</v>
      </c>
      <c r="G280">
        <v>0</v>
      </c>
      <c r="H280" s="1">
        <f t="shared" si="8"/>
        <v>45761</v>
      </c>
      <c r="I280">
        <f t="shared" si="9"/>
        <v>16</v>
      </c>
    </row>
    <row r="281" spans="1:9" x14ac:dyDescent="0.2">
      <c r="A281">
        <v>20250414</v>
      </c>
      <c r="B281" t="s">
        <v>7</v>
      </c>
      <c r="C281" t="s">
        <v>17</v>
      </c>
      <c r="D281">
        <v>1</v>
      </c>
      <c r="E281">
        <v>1</v>
      </c>
      <c r="F281">
        <v>0</v>
      </c>
      <c r="G281">
        <v>0</v>
      </c>
      <c r="H281" s="1">
        <f t="shared" si="8"/>
        <v>45761</v>
      </c>
      <c r="I281">
        <f t="shared" si="9"/>
        <v>16</v>
      </c>
    </row>
    <row r="282" spans="1:9" x14ac:dyDescent="0.2">
      <c r="A282">
        <v>20250414</v>
      </c>
      <c r="B282" t="s">
        <v>10</v>
      </c>
      <c r="C282" t="s">
        <v>15</v>
      </c>
      <c r="D282">
        <v>3</v>
      </c>
      <c r="E282">
        <v>1</v>
      </c>
      <c r="F282">
        <v>0</v>
      </c>
      <c r="G282">
        <v>0</v>
      </c>
      <c r="H282" s="1">
        <f t="shared" si="8"/>
        <v>45761</v>
      </c>
      <c r="I282">
        <f t="shared" si="9"/>
        <v>16</v>
      </c>
    </row>
    <row r="283" spans="1:9" x14ac:dyDescent="0.2">
      <c r="A283">
        <v>20250415</v>
      </c>
      <c r="B283" t="s">
        <v>7</v>
      </c>
      <c r="C283" t="s">
        <v>17</v>
      </c>
      <c r="D283">
        <v>3</v>
      </c>
      <c r="E283">
        <v>1</v>
      </c>
      <c r="F283">
        <v>0</v>
      </c>
      <c r="G283">
        <v>0</v>
      </c>
      <c r="H283" s="1">
        <f t="shared" si="8"/>
        <v>45762</v>
      </c>
      <c r="I283">
        <f t="shared" si="9"/>
        <v>16</v>
      </c>
    </row>
    <row r="284" spans="1:9" x14ac:dyDescent="0.2">
      <c r="A284">
        <v>20250415</v>
      </c>
      <c r="B284" t="s">
        <v>9</v>
      </c>
      <c r="C284" t="s">
        <v>8</v>
      </c>
      <c r="D284">
        <v>3</v>
      </c>
      <c r="E284">
        <v>2</v>
      </c>
      <c r="F284">
        <v>0</v>
      </c>
      <c r="G284">
        <v>0</v>
      </c>
      <c r="H284" s="1">
        <f t="shared" si="8"/>
        <v>45762</v>
      </c>
      <c r="I284">
        <f t="shared" si="9"/>
        <v>16</v>
      </c>
    </row>
    <row r="285" spans="1:9" x14ac:dyDescent="0.2">
      <c r="A285">
        <v>20250415</v>
      </c>
      <c r="B285" t="s">
        <v>10</v>
      </c>
      <c r="C285" t="s">
        <v>8</v>
      </c>
      <c r="D285">
        <v>1</v>
      </c>
      <c r="E285">
        <v>18</v>
      </c>
      <c r="F285">
        <v>0</v>
      </c>
      <c r="G285">
        <v>0</v>
      </c>
      <c r="H285" s="1">
        <f t="shared" si="8"/>
        <v>45762</v>
      </c>
      <c r="I285">
        <f t="shared" si="9"/>
        <v>16</v>
      </c>
    </row>
    <row r="286" spans="1:9" x14ac:dyDescent="0.2">
      <c r="A286">
        <v>20250416</v>
      </c>
      <c r="B286" t="s">
        <v>7</v>
      </c>
      <c r="C286" t="s">
        <v>22</v>
      </c>
      <c r="D286">
        <v>1</v>
      </c>
      <c r="E286">
        <v>40</v>
      </c>
      <c r="F286">
        <v>0</v>
      </c>
      <c r="G286">
        <v>0</v>
      </c>
      <c r="H286" s="1">
        <f t="shared" si="8"/>
        <v>45763</v>
      </c>
      <c r="I286">
        <f t="shared" si="9"/>
        <v>16</v>
      </c>
    </row>
    <row r="287" spans="1:9" x14ac:dyDescent="0.2">
      <c r="A287">
        <v>20250416</v>
      </c>
      <c r="B287" t="s">
        <v>7</v>
      </c>
      <c r="C287" t="s">
        <v>8</v>
      </c>
      <c r="D287">
        <v>1</v>
      </c>
      <c r="E287">
        <v>46</v>
      </c>
      <c r="F287">
        <v>0</v>
      </c>
      <c r="G287">
        <v>7</v>
      </c>
      <c r="H287" s="1">
        <f t="shared" si="8"/>
        <v>45763</v>
      </c>
      <c r="I287">
        <f t="shared" si="9"/>
        <v>16</v>
      </c>
    </row>
    <row r="288" spans="1:9" x14ac:dyDescent="0.2">
      <c r="A288">
        <v>20250416</v>
      </c>
      <c r="B288" t="s">
        <v>14</v>
      </c>
      <c r="C288" t="s">
        <v>8</v>
      </c>
      <c r="D288">
        <v>1</v>
      </c>
      <c r="E288">
        <v>26</v>
      </c>
      <c r="F288">
        <v>0</v>
      </c>
      <c r="G288">
        <v>0</v>
      </c>
      <c r="H288" s="1">
        <f t="shared" si="8"/>
        <v>45763</v>
      </c>
      <c r="I288">
        <f t="shared" si="9"/>
        <v>16</v>
      </c>
    </row>
    <row r="289" spans="1:9" x14ac:dyDescent="0.2">
      <c r="A289">
        <v>20250416</v>
      </c>
      <c r="B289" t="s">
        <v>9</v>
      </c>
      <c r="C289" t="s">
        <v>8</v>
      </c>
      <c r="D289">
        <v>4</v>
      </c>
      <c r="E289">
        <v>1</v>
      </c>
      <c r="F289">
        <v>0</v>
      </c>
      <c r="G289">
        <v>0</v>
      </c>
      <c r="H289" s="1">
        <f t="shared" si="8"/>
        <v>45763</v>
      </c>
      <c r="I289">
        <f t="shared" si="9"/>
        <v>16</v>
      </c>
    </row>
    <row r="290" spans="1:9" x14ac:dyDescent="0.2">
      <c r="A290">
        <v>20250417</v>
      </c>
      <c r="B290" t="s">
        <v>9</v>
      </c>
      <c r="C290" t="s">
        <v>8</v>
      </c>
      <c r="D290">
        <v>1</v>
      </c>
      <c r="E290">
        <v>1</v>
      </c>
      <c r="F290">
        <v>0</v>
      </c>
      <c r="G290">
        <v>0</v>
      </c>
      <c r="H290" s="1">
        <f t="shared" si="8"/>
        <v>45764</v>
      </c>
      <c r="I290">
        <f t="shared" si="9"/>
        <v>16</v>
      </c>
    </row>
    <row r="291" spans="1:9" x14ac:dyDescent="0.2">
      <c r="A291">
        <v>20250418</v>
      </c>
      <c r="B291" t="s">
        <v>7</v>
      </c>
      <c r="C291" t="s">
        <v>8</v>
      </c>
      <c r="D291">
        <v>4</v>
      </c>
      <c r="E291">
        <v>75.25</v>
      </c>
      <c r="F291">
        <v>0</v>
      </c>
      <c r="G291">
        <v>0</v>
      </c>
      <c r="H291" s="1">
        <f t="shared" si="8"/>
        <v>45765</v>
      </c>
      <c r="I291">
        <f t="shared" si="9"/>
        <v>16</v>
      </c>
    </row>
    <row r="292" spans="1:9" x14ac:dyDescent="0.2">
      <c r="A292">
        <v>20250418</v>
      </c>
      <c r="B292" t="s">
        <v>10</v>
      </c>
      <c r="C292" t="s">
        <v>8</v>
      </c>
      <c r="D292">
        <v>5</v>
      </c>
      <c r="E292">
        <v>39.200000000000003</v>
      </c>
      <c r="F292">
        <v>0</v>
      </c>
      <c r="G292">
        <v>5</v>
      </c>
      <c r="H292" s="1">
        <f t="shared" si="8"/>
        <v>45765</v>
      </c>
      <c r="I292">
        <f t="shared" si="9"/>
        <v>16</v>
      </c>
    </row>
    <row r="293" spans="1:9" x14ac:dyDescent="0.2">
      <c r="A293">
        <v>20250419</v>
      </c>
      <c r="B293" t="s">
        <v>7</v>
      </c>
      <c r="C293" t="s">
        <v>8</v>
      </c>
      <c r="D293">
        <v>3</v>
      </c>
      <c r="E293">
        <v>58</v>
      </c>
      <c r="F293">
        <v>0</v>
      </c>
      <c r="G293">
        <v>0</v>
      </c>
      <c r="H293" s="1">
        <f t="shared" si="8"/>
        <v>45766</v>
      </c>
      <c r="I293">
        <f t="shared" si="9"/>
        <v>16</v>
      </c>
    </row>
    <row r="294" spans="1:9" x14ac:dyDescent="0.2">
      <c r="A294">
        <v>20250420</v>
      </c>
      <c r="B294" t="s">
        <v>16</v>
      </c>
      <c r="C294" t="s">
        <v>22</v>
      </c>
      <c r="D294">
        <v>2</v>
      </c>
      <c r="E294">
        <v>1</v>
      </c>
      <c r="F294">
        <v>0</v>
      </c>
      <c r="G294">
        <v>0</v>
      </c>
      <c r="H294" s="1">
        <f t="shared" si="8"/>
        <v>45767</v>
      </c>
      <c r="I294">
        <f t="shared" si="9"/>
        <v>17</v>
      </c>
    </row>
    <row r="295" spans="1:9" x14ac:dyDescent="0.2">
      <c r="A295">
        <v>20250420</v>
      </c>
      <c r="B295" t="s">
        <v>7</v>
      </c>
      <c r="C295" t="s">
        <v>8</v>
      </c>
      <c r="D295">
        <v>3</v>
      </c>
      <c r="E295">
        <v>15.3333333333333</v>
      </c>
      <c r="F295">
        <v>0</v>
      </c>
      <c r="G295">
        <v>0</v>
      </c>
      <c r="H295" s="1">
        <f t="shared" si="8"/>
        <v>45767</v>
      </c>
      <c r="I295">
        <f t="shared" si="9"/>
        <v>17</v>
      </c>
    </row>
    <row r="296" spans="1:9" x14ac:dyDescent="0.2">
      <c r="A296">
        <v>20250420</v>
      </c>
      <c r="B296" t="s">
        <v>10</v>
      </c>
      <c r="C296" t="s">
        <v>8</v>
      </c>
      <c r="D296">
        <v>1</v>
      </c>
      <c r="E296">
        <v>20</v>
      </c>
      <c r="F296">
        <v>0</v>
      </c>
      <c r="G296">
        <v>0</v>
      </c>
      <c r="H296" s="1">
        <f t="shared" si="8"/>
        <v>45767</v>
      </c>
      <c r="I296">
        <f t="shared" si="9"/>
        <v>17</v>
      </c>
    </row>
    <row r="297" spans="1:9" x14ac:dyDescent="0.2">
      <c r="A297">
        <v>20250421</v>
      </c>
      <c r="B297" t="s">
        <v>7</v>
      </c>
      <c r="C297" t="s">
        <v>13</v>
      </c>
      <c r="D297">
        <v>2</v>
      </c>
      <c r="E297">
        <v>45</v>
      </c>
      <c r="F297">
        <v>0</v>
      </c>
      <c r="G297">
        <v>0</v>
      </c>
      <c r="H297" s="1">
        <f t="shared" si="8"/>
        <v>45768</v>
      </c>
      <c r="I297">
        <f t="shared" si="9"/>
        <v>17</v>
      </c>
    </row>
    <row r="298" spans="1:9" x14ac:dyDescent="0.2">
      <c r="A298">
        <v>20250421</v>
      </c>
      <c r="B298" t="s">
        <v>7</v>
      </c>
      <c r="C298" t="s">
        <v>8</v>
      </c>
      <c r="D298">
        <v>1</v>
      </c>
      <c r="E298">
        <v>55</v>
      </c>
      <c r="F298">
        <v>0</v>
      </c>
      <c r="G298">
        <v>0</v>
      </c>
      <c r="H298" s="1">
        <f t="shared" si="8"/>
        <v>45768</v>
      </c>
      <c r="I298">
        <f t="shared" si="9"/>
        <v>17</v>
      </c>
    </row>
    <row r="299" spans="1:9" x14ac:dyDescent="0.2">
      <c r="A299">
        <v>20250421</v>
      </c>
      <c r="B299" t="s">
        <v>10</v>
      </c>
      <c r="C299" t="s">
        <v>8</v>
      </c>
      <c r="D299">
        <v>1</v>
      </c>
      <c r="E299">
        <v>16</v>
      </c>
      <c r="F299">
        <v>0</v>
      </c>
      <c r="G299">
        <v>0</v>
      </c>
      <c r="H299" s="1">
        <f t="shared" si="8"/>
        <v>45768</v>
      </c>
      <c r="I299">
        <f t="shared" si="9"/>
        <v>17</v>
      </c>
    </row>
    <row r="300" spans="1:9" x14ac:dyDescent="0.2">
      <c r="A300">
        <v>20250422</v>
      </c>
      <c r="B300" t="s">
        <v>7</v>
      </c>
      <c r="C300" t="s">
        <v>8</v>
      </c>
      <c r="D300">
        <v>3</v>
      </c>
      <c r="E300">
        <v>8.3333333333333304</v>
      </c>
      <c r="F300">
        <v>0</v>
      </c>
      <c r="G300">
        <v>0</v>
      </c>
      <c r="H300" s="1">
        <f t="shared" si="8"/>
        <v>45769</v>
      </c>
      <c r="I300">
        <f t="shared" si="9"/>
        <v>17</v>
      </c>
    </row>
    <row r="301" spans="1:9" x14ac:dyDescent="0.2">
      <c r="A301">
        <v>20250423</v>
      </c>
      <c r="B301" t="s">
        <v>19</v>
      </c>
      <c r="C301" t="s">
        <v>8</v>
      </c>
      <c r="D301">
        <v>1</v>
      </c>
      <c r="E301">
        <v>18</v>
      </c>
      <c r="F301">
        <v>0</v>
      </c>
      <c r="G301">
        <v>0</v>
      </c>
      <c r="H301" s="1">
        <f t="shared" si="8"/>
        <v>45770</v>
      </c>
      <c r="I301">
        <f t="shared" si="9"/>
        <v>17</v>
      </c>
    </row>
    <row r="302" spans="1:9" x14ac:dyDescent="0.2">
      <c r="A302">
        <v>20250423</v>
      </c>
      <c r="B302" t="s">
        <v>9</v>
      </c>
      <c r="C302" t="s">
        <v>13</v>
      </c>
      <c r="D302">
        <v>1</v>
      </c>
      <c r="E302">
        <v>84</v>
      </c>
      <c r="F302">
        <v>0</v>
      </c>
      <c r="G302">
        <v>0</v>
      </c>
      <c r="H302" s="1">
        <f t="shared" si="8"/>
        <v>45770</v>
      </c>
      <c r="I302">
        <f t="shared" si="9"/>
        <v>17</v>
      </c>
    </row>
    <row r="303" spans="1:9" x14ac:dyDescent="0.2">
      <c r="A303">
        <v>20250423</v>
      </c>
      <c r="B303" t="s">
        <v>10</v>
      </c>
      <c r="C303" t="s">
        <v>8</v>
      </c>
      <c r="D303">
        <v>1</v>
      </c>
      <c r="E303">
        <v>31</v>
      </c>
      <c r="F303">
        <v>0</v>
      </c>
      <c r="G303">
        <v>0</v>
      </c>
      <c r="H303" s="1">
        <f t="shared" si="8"/>
        <v>45770</v>
      </c>
      <c r="I303">
        <f t="shared" si="9"/>
        <v>17</v>
      </c>
    </row>
    <row r="304" spans="1:9" x14ac:dyDescent="0.2">
      <c r="A304">
        <v>20250424</v>
      </c>
      <c r="B304" t="s">
        <v>16</v>
      </c>
      <c r="C304" t="s">
        <v>8</v>
      </c>
      <c r="D304">
        <v>2</v>
      </c>
      <c r="E304">
        <v>19</v>
      </c>
      <c r="F304">
        <v>0</v>
      </c>
      <c r="G304">
        <v>0</v>
      </c>
      <c r="H304" s="1">
        <f t="shared" si="8"/>
        <v>45771</v>
      </c>
      <c r="I304">
        <f t="shared" si="9"/>
        <v>17</v>
      </c>
    </row>
    <row r="305" spans="1:9" x14ac:dyDescent="0.2">
      <c r="A305">
        <v>20250424</v>
      </c>
      <c r="B305" t="s">
        <v>10</v>
      </c>
      <c r="C305" t="s">
        <v>8</v>
      </c>
      <c r="D305">
        <v>4</v>
      </c>
      <c r="E305">
        <v>19.75</v>
      </c>
      <c r="F305">
        <v>0</v>
      </c>
      <c r="G305">
        <v>1</v>
      </c>
      <c r="H305" s="1">
        <f t="shared" si="8"/>
        <v>45771</v>
      </c>
      <c r="I305">
        <f t="shared" si="9"/>
        <v>17</v>
      </c>
    </row>
    <row r="306" spans="1:9" x14ac:dyDescent="0.2">
      <c r="A306">
        <v>20250425</v>
      </c>
      <c r="B306" t="s">
        <v>7</v>
      </c>
      <c r="C306" t="s">
        <v>8</v>
      </c>
      <c r="D306">
        <v>1</v>
      </c>
      <c r="E306">
        <v>2</v>
      </c>
      <c r="F306">
        <v>0</v>
      </c>
      <c r="G306">
        <v>0</v>
      </c>
      <c r="H306" s="1">
        <f t="shared" si="8"/>
        <v>45772</v>
      </c>
      <c r="I306">
        <f t="shared" si="9"/>
        <v>17</v>
      </c>
    </row>
    <row r="307" spans="1:9" x14ac:dyDescent="0.2">
      <c r="A307">
        <v>20250425</v>
      </c>
      <c r="B307" t="s">
        <v>10</v>
      </c>
      <c r="C307" t="s">
        <v>25</v>
      </c>
      <c r="D307">
        <v>1</v>
      </c>
      <c r="E307">
        <v>46</v>
      </c>
      <c r="F307">
        <v>0</v>
      </c>
      <c r="G307">
        <v>0</v>
      </c>
      <c r="H307" s="1">
        <f t="shared" si="8"/>
        <v>45772</v>
      </c>
      <c r="I307">
        <f t="shared" si="9"/>
        <v>17</v>
      </c>
    </row>
    <row r="308" spans="1:9" x14ac:dyDescent="0.2">
      <c r="A308">
        <v>20250426</v>
      </c>
      <c r="B308" t="s">
        <v>10</v>
      </c>
      <c r="C308" t="s">
        <v>8</v>
      </c>
      <c r="D308">
        <v>3</v>
      </c>
      <c r="E308">
        <v>41.6666666666666</v>
      </c>
      <c r="F308">
        <v>0</v>
      </c>
      <c r="G308">
        <v>0</v>
      </c>
      <c r="H308" s="1">
        <f t="shared" si="8"/>
        <v>45773</v>
      </c>
      <c r="I308">
        <f t="shared" si="9"/>
        <v>17</v>
      </c>
    </row>
    <row r="309" spans="1:9" x14ac:dyDescent="0.2">
      <c r="A309">
        <v>20250426</v>
      </c>
      <c r="B309" t="s">
        <v>10</v>
      </c>
      <c r="C309" t="s">
        <v>24</v>
      </c>
      <c r="D309">
        <v>3</v>
      </c>
      <c r="E309">
        <v>37.6666666666666</v>
      </c>
      <c r="F309">
        <v>0</v>
      </c>
      <c r="G309">
        <v>0</v>
      </c>
      <c r="H309" s="1">
        <f t="shared" si="8"/>
        <v>45773</v>
      </c>
      <c r="I309">
        <f t="shared" si="9"/>
        <v>17</v>
      </c>
    </row>
    <row r="310" spans="1:9" x14ac:dyDescent="0.2">
      <c r="A310">
        <v>20250426</v>
      </c>
      <c r="B310" t="s">
        <v>10</v>
      </c>
      <c r="C310" t="s">
        <v>31</v>
      </c>
      <c r="D310">
        <v>1</v>
      </c>
      <c r="E310">
        <v>48</v>
      </c>
      <c r="F310">
        <v>0</v>
      </c>
      <c r="G310">
        <v>0</v>
      </c>
      <c r="H310" s="1">
        <f t="shared" si="8"/>
        <v>45773</v>
      </c>
      <c r="I310">
        <f t="shared" si="9"/>
        <v>17</v>
      </c>
    </row>
    <row r="311" spans="1:9" x14ac:dyDescent="0.2">
      <c r="A311">
        <v>20250427</v>
      </c>
      <c r="B311" t="s">
        <v>16</v>
      </c>
      <c r="C311" t="s">
        <v>8</v>
      </c>
      <c r="D311">
        <v>1</v>
      </c>
      <c r="E311">
        <v>30</v>
      </c>
      <c r="F311">
        <v>0</v>
      </c>
      <c r="G311">
        <v>0</v>
      </c>
      <c r="H311" s="1">
        <f t="shared" si="8"/>
        <v>45774</v>
      </c>
      <c r="I311">
        <f t="shared" si="9"/>
        <v>18</v>
      </c>
    </row>
    <row r="312" spans="1:9" x14ac:dyDescent="0.2">
      <c r="A312">
        <v>20250427</v>
      </c>
      <c r="B312" t="s">
        <v>10</v>
      </c>
      <c r="C312" t="s">
        <v>8</v>
      </c>
      <c r="D312">
        <v>1</v>
      </c>
      <c r="E312">
        <v>40</v>
      </c>
      <c r="F312">
        <v>0</v>
      </c>
      <c r="G312">
        <v>0</v>
      </c>
      <c r="H312" s="1">
        <f t="shared" si="8"/>
        <v>45774</v>
      </c>
      <c r="I312">
        <f t="shared" si="9"/>
        <v>18</v>
      </c>
    </row>
    <row r="313" spans="1:9" x14ac:dyDescent="0.2">
      <c r="A313">
        <v>20250427</v>
      </c>
      <c r="B313" t="s">
        <v>10</v>
      </c>
      <c r="C313" t="s">
        <v>22</v>
      </c>
      <c r="D313">
        <v>1</v>
      </c>
      <c r="E313">
        <v>1</v>
      </c>
      <c r="F313">
        <v>0</v>
      </c>
      <c r="G313">
        <v>0</v>
      </c>
      <c r="H313" s="1">
        <f t="shared" si="8"/>
        <v>45774</v>
      </c>
      <c r="I313">
        <f t="shared" si="9"/>
        <v>18</v>
      </c>
    </row>
    <row r="314" spans="1:9" x14ac:dyDescent="0.2">
      <c r="A314">
        <v>20250428</v>
      </c>
      <c r="B314" t="s">
        <v>19</v>
      </c>
      <c r="C314" t="s">
        <v>8</v>
      </c>
      <c r="D314">
        <v>3</v>
      </c>
      <c r="E314">
        <v>15.3333333333333</v>
      </c>
      <c r="F314">
        <v>0</v>
      </c>
      <c r="G314">
        <v>0</v>
      </c>
      <c r="H314" s="1">
        <f t="shared" si="8"/>
        <v>45775</v>
      </c>
      <c r="I314">
        <f t="shared" si="9"/>
        <v>18</v>
      </c>
    </row>
    <row r="315" spans="1:9" x14ac:dyDescent="0.2">
      <c r="A315">
        <v>20250428</v>
      </c>
      <c r="B315" t="s">
        <v>12</v>
      </c>
      <c r="C315" t="s">
        <v>20</v>
      </c>
      <c r="D315">
        <v>1</v>
      </c>
      <c r="E315">
        <v>15</v>
      </c>
      <c r="F315">
        <v>0</v>
      </c>
      <c r="G315">
        <v>0</v>
      </c>
      <c r="H315" s="1">
        <f t="shared" si="8"/>
        <v>45775</v>
      </c>
      <c r="I315">
        <f t="shared" si="9"/>
        <v>18</v>
      </c>
    </row>
    <row r="316" spans="1:9" x14ac:dyDescent="0.2">
      <c r="A316">
        <v>20250428</v>
      </c>
      <c r="B316" t="s">
        <v>12</v>
      </c>
      <c r="C316" t="s">
        <v>8</v>
      </c>
      <c r="D316">
        <v>1</v>
      </c>
      <c r="E316">
        <v>37</v>
      </c>
      <c r="F316">
        <v>0</v>
      </c>
      <c r="G316">
        <v>0</v>
      </c>
      <c r="H316" s="1">
        <f t="shared" si="8"/>
        <v>45775</v>
      </c>
      <c r="I316">
        <f t="shared" si="9"/>
        <v>18</v>
      </c>
    </row>
    <row r="317" spans="1:9" x14ac:dyDescent="0.2">
      <c r="A317">
        <v>20250428</v>
      </c>
      <c r="B317" t="s">
        <v>16</v>
      </c>
      <c r="C317" t="s">
        <v>8</v>
      </c>
      <c r="D317">
        <v>1</v>
      </c>
      <c r="E317">
        <v>37</v>
      </c>
      <c r="F317">
        <v>0</v>
      </c>
      <c r="G317">
        <v>0</v>
      </c>
      <c r="H317" s="1">
        <f t="shared" si="8"/>
        <v>45775</v>
      </c>
      <c r="I317">
        <f t="shared" si="9"/>
        <v>18</v>
      </c>
    </row>
    <row r="318" spans="1:9" x14ac:dyDescent="0.2">
      <c r="A318">
        <v>20250428</v>
      </c>
      <c r="B318" t="s">
        <v>7</v>
      </c>
      <c r="C318" t="s">
        <v>8</v>
      </c>
      <c r="D318">
        <v>2</v>
      </c>
      <c r="E318">
        <v>63.5</v>
      </c>
      <c r="F318">
        <v>0</v>
      </c>
      <c r="G318">
        <v>0</v>
      </c>
      <c r="H318" s="1">
        <f t="shared" si="8"/>
        <v>45775</v>
      </c>
      <c r="I318">
        <f t="shared" si="9"/>
        <v>18</v>
      </c>
    </row>
    <row r="319" spans="1:9" x14ac:dyDescent="0.2">
      <c r="A319">
        <v>20250428</v>
      </c>
      <c r="B319" t="s">
        <v>9</v>
      </c>
      <c r="C319" t="s">
        <v>8</v>
      </c>
      <c r="D319">
        <v>1</v>
      </c>
      <c r="E319">
        <v>21</v>
      </c>
      <c r="F319">
        <v>0</v>
      </c>
      <c r="G319">
        <v>0</v>
      </c>
      <c r="H319" s="1">
        <f t="shared" si="8"/>
        <v>45775</v>
      </c>
      <c r="I319">
        <f t="shared" si="9"/>
        <v>18</v>
      </c>
    </row>
    <row r="320" spans="1:9" x14ac:dyDescent="0.2">
      <c r="A320">
        <v>20250428</v>
      </c>
      <c r="B320" t="s">
        <v>10</v>
      </c>
      <c r="C320" t="s">
        <v>8</v>
      </c>
      <c r="D320">
        <v>1</v>
      </c>
      <c r="E320">
        <v>21</v>
      </c>
      <c r="F320">
        <v>0</v>
      </c>
      <c r="G320">
        <v>0</v>
      </c>
      <c r="H320" s="1">
        <f t="shared" si="8"/>
        <v>45775</v>
      </c>
      <c r="I320">
        <f t="shared" si="9"/>
        <v>18</v>
      </c>
    </row>
    <row r="321" spans="1:9" x14ac:dyDescent="0.2">
      <c r="A321">
        <v>20250429</v>
      </c>
      <c r="B321" t="s">
        <v>7</v>
      </c>
      <c r="C321" t="s">
        <v>8</v>
      </c>
      <c r="D321">
        <v>5</v>
      </c>
      <c r="E321">
        <v>25.8</v>
      </c>
      <c r="F321">
        <v>0</v>
      </c>
      <c r="G321">
        <v>0</v>
      </c>
      <c r="H321" s="1">
        <f t="shared" si="8"/>
        <v>45776</v>
      </c>
      <c r="I321">
        <f t="shared" si="9"/>
        <v>18</v>
      </c>
    </row>
    <row r="322" spans="1:9" x14ac:dyDescent="0.2">
      <c r="A322">
        <v>20250429</v>
      </c>
      <c r="B322" t="s">
        <v>9</v>
      </c>
      <c r="C322" t="s">
        <v>15</v>
      </c>
      <c r="D322">
        <v>1</v>
      </c>
      <c r="E322">
        <v>2</v>
      </c>
      <c r="F322">
        <v>0</v>
      </c>
      <c r="G322">
        <v>0</v>
      </c>
      <c r="H322" s="1">
        <f t="shared" ref="H322:H385" si="10">DATE(LEFT(A322,4),MID(A322,5,2),RIGHT(A322,2))</f>
        <v>45776</v>
      </c>
      <c r="I322">
        <f t="shared" ref="I322:I385" si="11">WEEKNUM(H322)</f>
        <v>18</v>
      </c>
    </row>
    <row r="323" spans="1:9" x14ac:dyDescent="0.2">
      <c r="A323">
        <v>20250430</v>
      </c>
      <c r="B323" t="s">
        <v>12</v>
      </c>
      <c r="C323" t="s">
        <v>15</v>
      </c>
      <c r="D323">
        <v>2</v>
      </c>
      <c r="E323">
        <v>1</v>
      </c>
      <c r="F323">
        <v>0</v>
      </c>
      <c r="G323">
        <v>0</v>
      </c>
      <c r="H323" s="1">
        <f t="shared" si="10"/>
        <v>45777</v>
      </c>
      <c r="I323">
        <f t="shared" si="11"/>
        <v>18</v>
      </c>
    </row>
    <row r="324" spans="1:9" x14ac:dyDescent="0.2">
      <c r="A324">
        <v>20250430</v>
      </c>
      <c r="B324" t="s">
        <v>16</v>
      </c>
      <c r="C324" t="s">
        <v>18</v>
      </c>
      <c r="D324">
        <v>3</v>
      </c>
      <c r="E324">
        <v>1</v>
      </c>
      <c r="F324">
        <v>0</v>
      </c>
      <c r="G324">
        <v>0</v>
      </c>
      <c r="H324" s="1">
        <f t="shared" si="10"/>
        <v>45777</v>
      </c>
      <c r="I324">
        <f t="shared" si="11"/>
        <v>18</v>
      </c>
    </row>
    <row r="325" spans="1:9" x14ac:dyDescent="0.2">
      <c r="A325">
        <v>20250430</v>
      </c>
      <c r="B325" t="s">
        <v>7</v>
      </c>
      <c r="C325" t="s">
        <v>8</v>
      </c>
      <c r="D325">
        <v>1</v>
      </c>
      <c r="E325">
        <v>33</v>
      </c>
      <c r="F325">
        <v>0</v>
      </c>
      <c r="G325">
        <v>0</v>
      </c>
      <c r="H325" s="1">
        <f t="shared" si="10"/>
        <v>45777</v>
      </c>
      <c r="I325">
        <f t="shared" si="11"/>
        <v>18</v>
      </c>
    </row>
    <row r="326" spans="1:9" x14ac:dyDescent="0.2">
      <c r="A326">
        <v>20250430</v>
      </c>
      <c r="B326" t="s">
        <v>9</v>
      </c>
      <c r="C326" t="s">
        <v>15</v>
      </c>
      <c r="D326">
        <v>1</v>
      </c>
      <c r="E326">
        <v>2</v>
      </c>
      <c r="F326">
        <v>0</v>
      </c>
      <c r="G326">
        <v>0</v>
      </c>
      <c r="H326" s="1">
        <f t="shared" si="10"/>
        <v>45777</v>
      </c>
      <c r="I326">
        <f t="shared" si="11"/>
        <v>18</v>
      </c>
    </row>
    <row r="327" spans="1:9" x14ac:dyDescent="0.2">
      <c r="A327">
        <v>20250430</v>
      </c>
      <c r="B327" t="s">
        <v>10</v>
      </c>
      <c r="C327" t="s">
        <v>8</v>
      </c>
      <c r="D327">
        <v>4</v>
      </c>
      <c r="E327">
        <v>1</v>
      </c>
      <c r="F327">
        <v>0</v>
      </c>
      <c r="G327">
        <v>0</v>
      </c>
      <c r="H327" s="1">
        <f t="shared" si="10"/>
        <v>45777</v>
      </c>
      <c r="I327">
        <f t="shared" si="11"/>
        <v>18</v>
      </c>
    </row>
    <row r="328" spans="1:9" x14ac:dyDescent="0.2">
      <c r="A328">
        <v>20250430</v>
      </c>
      <c r="B328" t="s">
        <v>10</v>
      </c>
      <c r="C328" t="s">
        <v>11</v>
      </c>
      <c r="D328">
        <v>2</v>
      </c>
      <c r="E328">
        <v>1</v>
      </c>
      <c r="F328">
        <v>0</v>
      </c>
      <c r="G328">
        <v>0</v>
      </c>
      <c r="H328" s="1">
        <f t="shared" si="10"/>
        <v>45777</v>
      </c>
      <c r="I328">
        <f t="shared" si="11"/>
        <v>18</v>
      </c>
    </row>
    <row r="329" spans="1:9" x14ac:dyDescent="0.2">
      <c r="A329">
        <v>20250501</v>
      </c>
      <c r="B329" t="s">
        <v>19</v>
      </c>
      <c r="C329" t="s">
        <v>8</v>
      </c>
      <c r="D329">
        <v>1</v>
      </c>
      <c r="E329">
        <v>18</v>
      </c>
      <c r="F329">
        <v>0</v>
      </c>
      <c r="G329">
        <v>0</v>
      </c>
      <c r="H329" s="1">
        <f t="shared" si="10"/>
        <v>45778</v>
      </c>
      <c r="I329">
        <f t="shared" si="11"/>
        <v>18</v>
      </c>
    </row>
    <row r="330" spans="1:9" x14ac:dyDescent="0.2">
      <c r="A330">
        <v>20250501</v>
      </c>
      <c r="B330" t="s">
        <v>16</v>
      </c>
      <c r="C330" t="s">
        <v>8</v>
      </c>
      <c r="D330">
        <v>1</v>
      </c>
      <c r="E330">
        <v>25</v>
      </c>
      <c r="F330">
        <v>0</v>
      </c>
      <c r="G330">
        <v>0</v>
      </c>
      <c r="H330" s="1">
        <f t="shared" si="10"/>
        <v>45778</v>
      </c>
      <c r="I330">
        <f t="shared" si="11"/>
        <v>18</v>
      </c>
    </row>
    <row r="331" spans="1:9" x14ac:dyDescent="0.2">
      <c r="A331">
        <v>20250501</v>
      </c>
      <c r="B331" t="s">
        <v>7</v>
      </c>
      <c r="C331" t="s">
        <v>8</v>
      </c>
      <c r="D331">
        <v>1</v>
      </c>
      <c r="E331">
        <v>33</v>
      </c>
      <c r="F331">
        <v>0</v>
      </c>
      <c r="G331">
        <v>0</v>
      </c>
      <c r="H331" s="1">
        <f t="shared" si="10"/>
        <v>45778</v>
      </c>
      <c r="I331">
        <f t="shared" si="11"/>
        <v>18</v>
      </c>
    </row>
    <row r="332" spans="1:9" x14ac:dyDescent="0.2">
      <c r="A332">
        <v>20250501</v>
      </c>
      <c r="B332" t="s">
        <v>7</v>
      </c>
      <c r="C332" t="s">
        <v>24</v>
      </c>
      <c r="D332">
        <v>1</v>
      </c>
      <c r="E332">
        <v>24</v>
      </c>
      <c r="F332">
        <v>0</v>
      </c>
      <c r="G332">
        <v>0</v>
      </c>
      <c r="H332" s="1">
        <f t="shared" si="10"/>
        <v>45778</v>
      </c>
      <c r="I332">
        <f t="shared" si="11"/>
        <v>18</v>
      </c>
    </row>
    <row r="333" spans="1:9" x14ac:dyDescent="0.2">
      <c r="A333">
        <v>20250501</v>
      </c>
      <c r="B333" t="s">
        <v>9</v>
      </c>
      <c r="C333" t="s">
        <v>13</v>
      </c>
      <c r="D333">
        <v>1</v>
      </c>
      <c r="E333">
        <v>45</v>
      </c>
      <c r="F333">
        <v>0</v>
      </c>
      <c r="G333">
        <v>0</v>
      </c>
      <c r="H333" s="1">
        <f t="shared" si="10"/>
        <v>45778</v>
      </c>
      <c r="I333">
        <f t="shared" si="11"/>
        <v>18</v>
      </c>
    </row>
    <row r="334" spans="1:9" x14ac:dyDescent="0.2">
      <c r="A334">
        <v>20250502</v>
      </c>
      <c r="B334" t="s">
        <v>19</v>
      </c>
      <c r="C334" t="s">
        <v>15</v>
      </c>
      <c r="D334">
        <v>3</v>
      </c>
      <c r="E334">
        <v>1</v>
      </c>
      <c r="F334">
        <v>0</v>
      </c>
      <c r="G334">
        <v>0</v>
      </c>
      <c r="H334" s="1">
        <f t="shared" si="10"/>
        <v>45779</v>
      </c>
      <c r="I334">
        <f t="shared" si="11"/>
        <v>18</v>
      </c>
    </row>
    <row r="335" spans="1:9" x14ac:dyDescent="0.2">
      <c r="A335">
        <v>20250502</v>
      </c>
      <c r="B335" t="s">
        <v>7</v>
      </c>
      <c r="C335" t="s">
        <v>8</v>
      </c>
      <c r="D335">
        <v>3</v>
      </c>
      <c r="E335">
        <v>14.6666666666666</v>
      </c>
      <c r="F335">
        <v>0</v>
      </c>
      <c r="G335">
        <v>0</v>
      </c>
      <c r="H335" s="1">
        <f t="shared" si="10"/>
        <v>45779</v>
      </c>
      <c r="I335">
        <f t="shared" si="11"/>
        <v>18</v>
      </c>
    </row>
    <row r="336" spans="1:9" x14ac:dyDescent="0.2">
      <c r="A336">
        <v>20250502</v>
      </c>
      <c r="B336" t="s">
        <v>9</v>
      </c>
      <c r="C336" t="s">
        <v>13</v>
      </c>
      <c r="D336">
        <v>2</v>
      </c>
      <c r="E336">
        <v>48.5</v>
      </c>
      <c r="F336">
        <v>0</v>
      </c>
      <c r="G336">
        <v>0</v>
      </c>
      <c r="H336" s="1">
        <f t="shared" si="10"/>
        <v>45779</v>
      </c>
      <c r="I336">
        <f t="shared" si="11"/>
        <v>18</v>
      </c>
    </row>
    <row r="337" spans="1:9" x14ac:dyDescent="0.2">
      <c r="A337">
        <v>20250503</v>
      </c>
      <c r="B337" t="s">
        <v>12</v>
      </c>
      <c r="C337" t="s">
        <v>13</v>
      </c>
      <c r="D337">
        <v>1</v>
      </c>
      <c r="E337">
        <v>78</v>
      </c>
      <c r="F337">
        <v>0</v>
      </c>
      <c r="G337">
        <v>0</v>
      </c>
      <c r="H337" s="1">
        <f t="shared" si="10"/>
        <v>45780</v>
      </c>
      <c r="I337">
        <f t="shared" si="11"/>
        <v>18</v>
      </c>
    </row>
    <row r="338" spans="1:9" x14ac:dyDescent="0.2">
      <c r="A338">
        <v>20250503</v>
      </c>
      <c r="B338" t="s">
        <v>9</v>
      </c>
      <c r="C338" t="s">
        <v>13</v>
      </c>
      <c r="D338">
        <v>2</v>
      </c>
      <c r="E338">
        <v>2</v>
      </c>
      <c r="F338">
        <v>0</v>
      </c>
      <c r="G338">
        <v>0</v>
      </c>
      <c r="H338" s="1">
        <f t="shared" si="10"/>
        <v>45780</v>
      </c>
      <c r="I338">
        <f t="shared" si="11"/>
        <v>18</v>
      </c>
    </row>
    <row r="339" spans="1:9" x14ac:dyDescent="0.2">
      <c r="A339">
        <v>20250503</v>
      </c>
      <c r="B339" t="s">
        <v>10</v>
      </c>
      <c r="C339" t="s">
        <v>13</v>
      </c>
      <c r="D339">
        <v>1</v>
      </c>
      <c r="E339">
        <v>2</v>
      </c>
      <c r="F339">
        <v>0</v>
      </c>
      <c r="G339">
        <v>0</v>
      </c>
      <c r="H339" s="1">
        <f t="shared" si="10"/>
        <v>45780</v>
      </c>
      <c r="I339">
        <f t="shared" si="11"/>
        <v>18</v>
      </c>
    </row>
    <row r="340" spans="1:9" x14ac:dyDescent="0.2">
      <c r="A340">
        <v>20250504</v>
      </c>
      <c r="B340" t="s">
        <v>16</v>
      </c>
      <c r="C340" t="s">
        <v>8</v>
      </c>
      <c r="D340">
        <v>3</v>
      </c>
      <c r="E340">
        <v>36</v>
      </c>
      <c r="F340">
        <v>0</v>
      </c>
      <c r="G340">
        <v>0</v>
      </c>
      <c r="H340" s="1">
        <f t="shared" si="10"/>
        <v>45781</v>
      </c>
      <c r="I340">
        <f t="shared" si="11"/>
        <v>19</v>
      </c>
    </row>
    <row r="341" spans="1:9" x14ac:dyDescent="0.2">
      <c r="A341">
        <v>20250504</v>
      </c>
      <c r="B341" t="s">
        <v>7</v>
      </c>
      <c r="C341" t="s">
        <v>8</v>
      </c>
      <c r="D341">
        <v>2</v>
      </c>
      <c r="E341">
        <v>24</v>
      </c>
      <c r="F341">
        <v>0</v>
      </c>
      <c r="G341">
        <v>4</v>
      </c>
      <c r="H341" s="1">
        <f t="shared" si="10"/>
        <v>45781</v>
      </c>
      <c r="I341">
        <f t="shared" si="11"/>
        <v>19</v>
      </c>
    </row>
    <row r="342" spans="1:9" x14ac:dyDescent="0.2">
      <c r="A342">
        <v>20250504</v>
      </c>
      <c r="B342" t="s">
        <v>10</v>
      </c>
      <c r="C342" t="s">
        <v>22</v>
      </c>
      <c r="D342">
        <v>1</v>
      </c>
      <c r="E342">
        <v>1</v>
      </c>
      <c r="F342">
        <v>0</v>
      </c>
      <c r="G342">
        <v>0</v>
      </c>
      <c r="H342" s="1">
        <f t="shared" si="10"/>
        <v>45781</v>
      </c>
      <c r="I342">
        <f t="shared" si="11"/>
        <v>19</v>
      </c>
    </row>
    <row r="343" spans="1:9" x14ac:dyDescent="0.2">
      <c r="A343">
        <v>20250505</v>
      </c>
      <c r="B343" t="s">
        <v>7</v>
      </c>
      <c r="C343" t="s">
        <v>8</v>
      </c>
      <c r="D343">
        <v>3</v>
      </c>
      <c r="E343">
        <v>22.3333333333333</v>
      </c>
      <c r="F343">
        <v>0</v>
      </c>
      <c r="G343">
        <v>0</v>
      </c>
      <c r="H343" s="1">
        <f t="shared" si="10"/>
        <v>45782</v>
      </c>
      <c r="I343">
        <f t="shared" si="11"/>
        <v>19</v>
      </c>
    </row>
    <row r="344" spans="1:9" x14ac:dyDescent="0.2">
      <c r="A344">
        <v>20250505</v>
      </c>
      <c r="B344" t="s">
        <v>10</v>
      </c>
      <c r="C344" t="s">
        <v>28</v>
      </c>
      <c r="D344">
        <v>2</v>
      </c>
      <c r="E344">
        <v>41.5</v>
      </c>
      <c r="F344">
        <v>0</v>
      </c>
      <c r="G344">
        <v>0</v>
      </c>
      <c r="H344" s="1">
        <f t="shared" si="10"/>
        <v>45782</v>
      </c>
      <c r="I344">
        <f t="shared" si="11"/>
        <v>19</v>
      </c>
    </row>
    <row r="345" spans="1:9" x14ac:dyDescent="0.2">
      <c r="A345">
        <v>20250505</v>
      </c>
      <c r="B345" t="s">
        <v>10</v>
      </c>
      <c r="C345" t="s">
        <v>8</v>
      </c>
      <c r="D345">
        <v>1</v>
      </c>
      <c r="E345">
        <v>7</v>
      </c>
      <c r="F345">
        <v>0</v>
      </c>
      <c r="G345">
        <v>0</v>
      </c>
      <c r="H345" s="1">
        <f t="shared" si="10"/>
        <v>45782</v>
      </c>
      <c r="I345">
        <f t="shared" si="11"/>
        <v>19</v>
      </c>
    </row>
    <row r="346" spans="1:9" x14ac:dyDescent="0.2">
      <c r="A346">
        <v>20250506</v>
      </c>
      <c r="B346" t="s">
        <v>7</v>
      </c>
      <c r="C346" t="s">
        <v>24</v>
      </c>
      <c r="D346">
        <v>1</v>
      </c>
      <c r="E346">
        <v>33</v>
      </c>
      <c r="F346">
        <v>0</v>
      </c>
      <c r="G346">
        <v>0</v>
      </c>
      <c r="H346" s="1">
        <f t="shared" si="10"/>
        <v>45783</v>
      </c>
      <c r="I346">
        <f t="shared" si="11"/>
        <v>19</v>
      </c>
    </row>
    <row r="347" spans="1:9" x14ac:dyDescent="0.2">
      <c r="A347">
        <v>20250506</v>
      </c>
      <c r="B347" t="s">
        <v>9</v>
      </c>
      <c r="C347" t="s">
        <v>18</v>
      </c>
      <c r="D347">
        <v>1</v>
      </c>
      <c r="E347">
        <v>1</v>
      </c>
      <c r="F347">
        <v>0</v>
      </c>
      <c r="G347">
        <v>0</v>
      </c>
      <c r="H347" s="1">
        <f t="shared" si="10"/>
        <v>45783</v>
      </c>
      <c r="I347">
        <f t="shared" si="11"/>
        <v>19</v>
      </c>
    </row>
    <row r="348" spans="1:9" x14ac:dyDescent="0.2">
      <c r="A348">
        <v>20250506</v>
      </c>
      <c r="B348" t="s">
        <v>10</v>
      </c>
      <c r="C348" t="s">
        <v>22</v>
      </c>
      <c r="D348">
        <v>1</v>
      </c>
      <c r="E348">
        <v>15</v>
      </c>
      <c r="F348">
        <v>0</v>
      </c>
      <c r="G348">
        <v>0</v>
      </c>
      <c r="H348" s="1">
        <f t="shared" si="10"/>
        <v>45783</v>
      </c>
      <c r="I348">
        <f t="shared" si="11"/>
        <v>19</v>
      </c>
    </row>
    <row r="349" spans="1:9" x14ac:dyDescent="0.2">
      <c r="A349">
        <v>20250507</v>
      </c>
      <c r="B349" t="s">
        <v>19</v>
      </c>
      <c r="C349" t="s">
        <v>8</v>
      </c>
      <c r="D349">
        <v>1</v>
      </c>
      <c r="E349">
        <v>1</v>
      </c>
      <c r="F349">
        <v>0</v>
      </c>
      <c r="G349">
        <v>0</v>
      </c>
      <c r="H349" s="1">
        <f t="shared" si="10"/>
        <v>45784</v>
      </c>
      <c r="I349">
        <f t="shared" si="11"/>
        <v>19</v>
      </c>
    </row>
    <row r="350" spans="1:9" x14ac:dyDescent="0.2">
      <c r="A350">
        <v>20250507</v>
      </c>
      <c r="B350" t="s">
        <v>16</v>
      </c>
      <c r="C350" t="s">
        <v>8</v>
      </c>
      <c r="D350">
        <v>3</v>
      </c>
      <c r="E350">
        <v>18</v>
      </c>
      <c r="F350">
        <v>0</v>
      </c>
      <c r="G350">
        <v>0</v>
      </c>
      <c r="H350" s="1">
        <f t="shared" si="10"/>
        <v>45784</v>
      </c>
      <c r="I350">
        <f t="shared" si="11"/>
        <v>19</v>
      </c>
    </row>
    <row r="351" spans="1:9" x14ac:dyDescent="0.2">
      <c r="A351">
        <v>20250507</v>
      </c>
      <c r="B351" t="s">
        <v>9</v>
      </c>
      <c r="C351" t="s">
        <v>8</v>
      </c>
      <c r="D351">
        <v>2</v>
      </c>
      <c r="E351">
        <v>1</v>
      </c>
      <c r="F351">
        <v>0</v>
      </c>
      <c r="G351">
        <v>0</v>
      </c>
      <c r="H351" s="1">
        <f t="shared" si="10"/>
        <v>45784</v>
      </c>
      <c r="I351">
        <f t="shared" si="11"/>
        <v>19</v>
      </c>
    </row>
    <row r="352" spans="1:9" x14ac:dyDescent="0.2">
      <c r="A352">
        <v>20250508</v>
      </c>
      <c r="B352" t="s">
        <v>16</v>
      </c>
      <c r="C352" t="s">
        <v>8</v>
      </c>
      <c r="D352">
        <v>2</v>
      </c>
      <c r="E352">
        <v>28</v>
      </c>
      <c r="F352">
        <v>0</v>
      </c>
      <c r="G352">
        <v>0</v>
      </c>
      <c r="H352" s="1">
        <f t="shared" si="10"/>
        <v>45785</v>
      </c>
      <c r="I352">
        <f t="shared" si="11"/>
        <v>19</v>
      </c>
    </row>
    <row r="353" spans="1:9" x14ac:dyDescent="0.2">
      <c r="A353">
        <v>20250508</v>
      </c>
      <c r="B353" t="s">
        <v>7</v>
      </c>
      <c r="C353" t="s">
        <v>8</v>
      </c>
      <c r="D353">
        <v>5</v>
      </c>
      <c r="E353">
        <v>4</v>
      </c>
      <c r="F353">
        <v>0</v>
      </c>
      <c r="G353">
        <v>0</v>
      </c>
      <c r="H353" s="1">
        <f t="shared" si="10"/>
        <v>45785</v>
      </c>
      <c r="I353">
        <f t="shared" si="11"/>
        <v>19</v>
      </c>
    </row>
    <row r="354" spans="1:9" x14ac:dyDescent="0.2">
      <c r="A354">
        <v>20250508</v>
      </c>
      <c r="B354" t="s">
        <v>9</v>
      </c>
      <c r="C354" t="s">
        <v>8</v>
      </c>
      <c r="D354">
        <v>1</v>
      </c>
      <c r="E354">
        <v>79</v>
      </c>
      <c r="F354">
        <v>0</v>
      </c>
      <c r="G354">
        <v>0</v>
      </c>
      <c r="H354" s="1">
        <f t="shared" si="10"/>
        <v>45785</v>
      </c>
      <c r="I354">
        <f t="shared" si="11"/>
        <v>19</v>
      </c>
    </row>
    <row r="355" spans="1:9" x14ac:dyDescent="0.2">
      <c r="A355">
        <v>20250508</v>
      </c>
      <c r="B355" t="s">
        <v>10</v>
      </c>
      <c r="C355" t="s">
        <v>8</v>
      </c>
      <c r="D355">
        <v>1</v>
      </c>
      <c r="E355">
        <v>28</v>
      </c>
      <c r="F355">
        <v>0</v>
      </c>
      <c r="G355">
        <v>0</v>
      </c>
      <c r="H355" s="1">
        <f t="shared" si="10"/>
        <v>45785</v>
      </c>
      <c r="I355">
        <f t="shared" si="11"/>
        <v>19</v>
      </c>
    </row>
    <row r="356" spans="1:9" x14ac:dyDescent="0.2">
      <c r="A356">
        <v>20250509</v>
      </c>
      <c r="B356" t="s">
        <v>16</v>
      </c>
      <c r="C356" t="s">
        <v>8</v>
      </c>
      <c r="D356">
        <v>5</v>
      </c>
      <c r="E356">
        <v>13.4</v>
      </c>
      <c r="F356">
        <v>0</v>
      </c>
      <c r="G356">
        <v>0</v>
      </c>
      <c r="H356" s="1">
        <f t="shared" si="10"/>
        <v>45786</v>
      </c>
      <c r="I356">
        <f t="shared" si="11"/>
        <v>19</v>
      </c>
    </row>
    <row r="357" spans="1:9" x14ac:dyDescent="0.2">
      <c r="A357">
        <v>20250509</v>
      </c>
      <c r="B357" t="s">
        <v>10</v>
      </c>
      <c r="C357" t="s">
        <v>8</v>
      </c>
      <c r="D357">
        <v>1</v>
      </c>
      <c r="E357">
        <v>14</v>
      </c>
      <c r="F357">
        <v>0</v>
      </c>
      <c r="G357">
        <v>0</v>
      </c>
      <c r="H357" s="1">
        <f t="shared" si="10"/>
        <v>45786</v>
      </c>
      <c r="I357">
        <f t="shared" si="11"/>
        <v>19</v>
      </c>
    </row>
    <row r="358" spans="1:9" x14ac:dyDescent="0.2">
      <c r="A358">
        <v>20250510</v>
      </c>
      <c r="B358" t="s">
        <v>19</v>
      </c>
      <c r="C358" t="s">
        <v>8</v>
      </c>
      <c r="D358">
        <v>1</v>
      </c>
      <c r="E358">
        <v>38</v>
      </c>
      <c r="F358">
        <v>0</v>
      </c>
      <c r="G358">
        <v>0</v>
      </c>
      <c r="H358" s="1">
        <f t="shared" si="10"/>
        <v>45787</v>
      </c>
      <c r="I358">
        <f t="shared" si="11"/>
        <v>19</v>
      </c>
    </row>
    <row r="359" spans="1:9" x14ac:dyDescent="0.2">
      <c r="A359">
        <v>20250510</v>
      </c>
      <c r="B359" t="s">
        <v>7</v>
      </c>
      <c r="C359" t="s">
        <v>8</v>
      </c>
      <c r="D359">
        <v>9</v>
      </c>
      <c r="E359">
        <v>21</v>
      </c>
      <c r="F359">
        <v>0</v>
      </c>
      <c r="G359">
        <v>0</v>
      </c>
      <c r="H359" s="1">
        <f t="shared" si="10"/>
        <v>45787</v>
      </c>
      <c r="I359">
        <f t="shared" si="11"/>
        <v>19</v>
      </c>
    </row>
    <row r="360" spans="1:9" x14ac:dyDescent="0.2">
      <c r="A360">
        <v>20250510</v>
      </c>
      <c r="B360" t="s">
        <v>9</v>
      </c>
      <c r="C360" t="s">
        <v>8</v>
      </c>
      <c r="D360">
        <v>3</v>
      </c>
      <c r="E360">
        <v>48.6666666666666</v>
      </c>
      <c r="F360">
        <v>0</v>
      </c>
      <c r="G360">
        <v>0</v>
      </c>
      <c r="H360" s="1">
        <f t="shared" si="10"/>
        <v>45787</v>
      </c>
      <c r="I360">
        <f t="shared" si="11"/>
        <v>19</v>
      </c>
    </row>
    <row r="361" spans="1:9" x14ac:dyDescent="0.2">
      <c r="A361">
        <v>20250510</v>
      </c>
      <c r="B361" t="s">
        <v>10</v>
      </c>
      <c r="C361" t="s">
        <v>8</v>
      </c>
      <c r="D361">
        <v>8</v>
      </c>
      <c r="E361">
        <v>31.75</v>
      </c>
      <c r="F361">
        <v>0</v>
      </c>
      <c r="G361">
        <v>0</v>
      </c>
      <c r="H361" s="1">
        <f t="shared" si="10"/>
        <v>45787</v>
      </c>
      <c r="I361">
        <f t="shared" si="11"/>
        <v>19</v>
      </c>
    </row>
    <row r="362" spans="1:9" x14ac:dyDescent="0.2">
      <c r="A362">
        <v>20250511</v>
      </c>
      <c r="B362" t="s">
        <v>7</v>
      </c>
      <c r="C362" t="s">
        <v>8</v>
      </c>
      <c r="D362">
        <v>13</v>
      </c>
      <c r="E362">
        <v>10.769230769230701</v>
      </c>
      <c r="F362">
        <v>1</v>
      </c>
      <c r="G362">
        <v>4</v>
      </c>
      <c r="H362" s="1">
        <f t="shared" si="10"/>
        <v>45788</v>
      </c>
      <c r="I362">
        <f t="shared" si="11"/>
        <v>20</v>
      </c>
    </row>
    <row r="363" spans="1:9" x14ac:dyDescent="0.2">
      <c r="A363">
        <v>20250511</v>
      </c>
      <c r="B363" t="s">
        <v>23</v>
      </c>
      <c r="C363" t="s">
        <v>27</v>
      </c>
      <c r="D363">
        <v>3</v>
      </c>
      <c r="E363">
        <v>36</v>
      </c>
      <c r="F363">
        <v>0</v>
      </c>
      <c r="G363">
        <v>0</v>
      </c>
      <c r="H363" s="1">
        <f t="shared" si="10"/>
        <v>45788</v>
      </c>
      <c r="I363">
        <f t="shared" si="11"/>
        <v>20</v>
      </c>
    </row>
    <row r="364" spans="1:9" x14ac:dyDescent="0.2">
      <c r="A364">
        <v>20250511</v>
      </c>
      <c r="B364" t="s">
        <v>9</v>
      </c>
      <c r="C364" t="s">
        <v>8</v>
      </c>
      <c r="D364">
        <v>2</v>
      </c>
      <c r="E364">
        <v>48</v>
      </c>
      <c r="F364">
        <v>0</v>
      </c>
      <c r="G364">
        <v>0</v>
      </c>
      <c r="H364" s="1">
        <f t="shared" si="10"/>
        <v>45788</v>
      </c>
      <c r="I364">
        <f t="shared" si="11"/>
        <v>20</v>
      </c>
    </row>
    <row r="365" spans="1:9" x14ac:dyDescent="0.2">
      <c r="A365">
        <v>20250511</v>
      </c>
      <c r="B365" t="s">
        <v>10</v>
      </c>
      <c r="C365" t="s">
        <v>8</v>
      </c>
      <c r="D365">
        <v>5</v>
      </c>
      <c r="E365">
        <v>31.6</v>
      </c>
      <c r="F365">
        <v>0</v>
      </c>
      <c r="G365">
        <v>0</v>
      </c>
      <c r="H365" s="1">
        <f t="shared" si="10"/>
        <v>45788</v>
      </c>
      <c r="I365">
        <f t="shared" si="11"/>
        <v>20</v>
      </c>
    </row>
    <row r="366" spans="1:9" x14ac:dyDescent="0.2">
      <c r="A366">
        <v>20250512</v>
      </c>
      <c r="B366" t="s">
        <v>16</v>
      </c>
      <c r="C366" t="s">
        <v>8</v>
      </c>
      <c r="D366">
        <v>1</v>
      </c>
      <c r="E366">
        <v>2</v>
      </c>
      <c r="F366">
        <v>0</v>
      </c>
      <c r="G366">
        <v>0</v>
      </c>
      <c r="H366" s="1">
        <f t="shared" si="10"/>
        <v>45789</v>
      </c>
      <c r="I366">
        <f t="shared" si="11"/>
        <v>20</v>
      </c>
    </row>
    <row r="367" spans="1:9" x14ac:dyDescent="0.2">
      <c r="A367">
        <v>20250512</v>
      </c>
      <c r="B367" t="s">
        <v>7</v>
      </c>
      <c r="C367" t="s">
        <v>8</v>
      </c>
      <c r="D367">
        <v>23</v>
      </c>
      <c r="E367">
        <v>43.652173913043399</v>
      </c>
      <c r="F367">
        <v>0</v>
      </c>
      <c r="G367">
        <v>1</v>
      </c>
      <c r="H367" s="1">
        <f t="shared" si="10"/>
        <v>45789</v>
      </c>
      <c r="I367">
        <f t="shared" si="11"/>
        <v>20</v>
      </c>
    </row>
    <row r="368" spans="1:9" x14ac:dyDescent="0.2">
      <c r="A368">
        <v>20250513</v>
      </c>
      <c r="B368" t="s">
        <v>19</v>
      </c>
      <c r="C368" t="s">
        <v>8</v>
      </c>
      <c r="D368">
        <v>3</v>
      </c>
      <c r="E368">
        <v>22.6666666666666</v>
      </c>
      <c r="F368">
        <v>0</v>
      </c>
      <c r="G368">
        <v>0</v>
      </c>
      <c r="H368" s="1">
        <f t="shared" si="10"/>
        <v>45790</v>
      </c>
      <c r="I368">
        <f t="shared" si="11"/>
        <v>20</v>
      </c>
    </row>
    <row r="369" spans="1:9" x14ac:dyDescent="0.2">
      <c r="A369">
        <v>20250513</v>
      </c>
      <c r="B369" t="s">
        <v>12</v>
      </c>
      <c r="C369" t="s">
        <v>8</v>
      </c>
      <c r="D369">
        <v>2</v>
      </c>
      <c r="E369">
        <v>9.5</v>
      </c>
      <c r="F369">
        <v>0</v>
      </c>
      <c r="G369">
        <v>0</v>
      </c>
      <c r="H369" s="1">
        <f t="shared" si="10"/>
        <v>45790</v>
      </c>
      <c r="I369">
        <f t="shared" si="11"/>
        <v>20</v>
      </c>
    </row>
    <row r="370" spans="1:9" x14ac:dyDescent="0.2">
      <c r="A370">
        <v>20250513</v>
      </c>
      <c r="B370" t="s">
        <v>16</v>
      </c>
      <c r="C370" t="s">
        <v>8</v>
      </c>
      <c r="D370">
        <v>4</v>
      </c>
      <c r="E370">
        <v>32.75</v>
      </c>
      <c r="F370">
        <v>0</v>
      </c>
      <c r="G370">
        <v>0</v>
      </c>
      <c r="H370" s="1">
        <f t="shared" si="10"/>
        <v>45790</v>
      </c>
      <c r="I370">
        <f t="shared" si="11"/>
        <v>20</v>
      </c>
    </row>
    <row r="371" spans="1:9" x14ac:dyDescent="0.2">
      <c r="A371">
        <v>20250513</v>
      </c>
      <c r="B371" t="s">
        <v>7</v>
      </c>
      <c r="C371" t="s">
        <v>8</v>
      </c>
      <c r="D371">
        <v>15</v>
      </c>
      <c r="E371">
        <v>36.4</v>
      </c>
      <c r="F371">
        <v>0</v>
      </c>
      <c r="G371">
        <v>0</v>
      </c>
      <c r="H371" s="1">
        <f t="shared" si="10"/>
        <v>45790</v>
      </c>
      <c r="I371">
        <f t="shared" si="11"/>
        <v>20</v>
      </c>
    </row>
    <row r="372" spans="1:9" x14ac:dyDescent="0.2">
      <c r="A372">
        <v>20250513</v>
      </c>
      <c r="B372" t="s">
        <v>9</v>
      </c>
      <c r="C372" t="s">
        <v>8</v>
      </c>
      <c r="D372">
        <v>1</v>
      </c>
      <c r="E372">
        <v>48</v>
      </c>
      <c r="F372">
        <v>0</v>
      </c>
      <c r="G372">
        <v>0</v>
      </c>
      <c r="H372" s="1">
        <f t="shared" si="10"/>
        <v>45790</v>
      </c>
      <c r="I372">
        <f t="shared" si="11"/>
        <v>20</v>
      </c>
    </row>
    <row r="373" spans="1:9" x14ac:dyDescent="0.2">
      <c r="A373">
        <v>20250513</v>
      </c>
      <c r="B373" t="s">
        <v>10</v>
      </c>
      <c r="C373" t="s">
        <v>8</v>
      </c>
      <c r="D373">
        <v>8</v>
      </c>
      <c r="E373">
        <v>40.625</v>
      </c>
      <c r="F373">
        <v>0</v>
      </c>
      <c r="G373">
        <v>0</v>
      </c>
      <c r="H373" s="1">
        <f t="shared" si="10"/>
        <v>45790</v>
      </c>
      <c r="I373">
        <f t="shared" si="11"/>
        <v>20</v>
      </c>
    </row>
    <row r="374" spans="1:9" x14ac:dyDescent="0.2">
      <c r="A374">
        <v>20250514</v>
      </c>
      <c r="B374" t="s">
        <v>19</v>
      </c>
      <c r="C374" t="s">
        <v>8</v>
      </c>
      <c r="D374">
        <v>1</v>
      </c>
      <c r="E374">
        <v>63</v>
      </c>
      <c r="F374">
        <v>0</v>
      </c>
      <c r="G374">
        <v>0</v>
      </c>
      <c r="H374" s="1">
        <f t="shared" si="10"/>
        <v>45791</v>
      </c>
      <c r="I374">
        <f t="shared" si="11"/>
        <v>20</v>
      </c>
    </row>
    <row r="375" spans="1:9" x14ac:dyDescent="0.2">
      <c r="A375">
        <v>20250514</v>
      </c>
      <c r="B375" t="s">
        <v>16</v>
      </c>
      <c r="C375" t="s">
        <v>8</v>
      </c>
      <c r="D375">
        <v>1</v>
      </c>
      <c r="E375">
        <v>31</v>
      </c>
      <c r="F375">
        <v>0</v>
      </c>
      <c r="G375">
        <v>0</v>
      </c>
      <c r="H375" s="1">
        <f t="shared" si="10"/>
        <v>45791</v>
      </c>
      <c r="I375">
        <f t="shared" si="11"/>
        <v>20</v>
      </c>
    </row>
    <row r="376" spans="1:9" x14ac:dyDescent="0.2">
      <c r="A376">
        <v>20250514</v>
      </c>
      <c r="B376" t="s">
        <v>7</v>
      </c>
      <c r="C376" t="s">
        <v>8</v>
      </c>
      <c r="D376">
        <v>21</v>
      </c>
      <c r="E376">
        <v>65.142857142857096</v>
      </c>
      <c r="F376">
        <v>0</v>
      </c>
      <c r="G376">
        <v>0</v>
      </c>
      <c r="H376" s="1">
        <f t="shared" si="10"/>
        <v>45791</v>
      </c>
      <c r="I376">
        <f t="shared" si="11"/>
        <v>20</v>
      </c>
    </row>
    <row r="377" spans="1:9" x14ac:dyDescent="0.2">
      <c r="A377">
        <v>20250514</v>
      </c>
      <c r="B377" t="s">
        <v>7</v>
      </c>
      <c r="C377" t="s">
        <v>24</v>
      </c>
      <c r="D377">
        <v>1</v>
      </c>
      <c r="E377">
        <v>79</v>
      </c>
      <c r="F377">
        <v>0</v>
      </c>
      <c r="G377">
        <v>0</v>
      </c>
      <c r="H377" s="1">
        <f t="shared" si="10"/>
        <v>45791</v>
      </c>
      <c r="I377">
        <f t="shared" si="11"/>
        <v>20</v>
      </c>
    </row>
    <row r="378" spans="1:9" x14ac:dyDescent="0.2">
      <c r="A378">
        <v>20250514</v>
      </c>
      <c r="B378" t="s">
        <v>7</v>
      </c>
      <c r="C378" t="s">
        <v>27</v>
      </c>
      <c r="D378">
        <v>1</v>
      </c>
      <c r="E378">
        <v>20</v>
      </c>
      <c r="F378">
        <v>0</v>
      </c>
      <c r="G378">
        <v>0</v>
      </c>
      <c r="H378" s="1">
        <f t="shared" si="10"/>
        <v>45791</v>
      </c>
      <c r="I378">
        <f t="shared" si="11"/>
        <v>20</v>
      </c>
    </row>
    <row r="379" spans="1:9" x14ac:dyDescent="0.2">
      <c r="A379">
        <v>20250514</v>
      </c>
      <c r="B379" t="s">
        <v>10</v>
      </c>
      <c r="C379" t="s">
        <v>8</v>
      </c>
      <c r="D379">
        <v>5</v>
      </c>
      <c r="E379">
        <v>21.8</v>
      </c>
      <c r="F379">
        <v>0</v>
      </c>
      <c r="G379">
        <v>0</v>
      </c>
      <c r="H379" s="1">
        <f t="shared" si="10"/>
        <v>45791</v>
      </c>
      <c r="I379">
        <f t="shared" si="11"/>
        <v>20</v>
      </c>
    </row>
    <row r="380" spans="1:9" x14ac:dyDescent="0.2">
      <c r="A380">
        <v>20250515</v>
      </c>
      <c r="B380" t="s">
        <v>19</v>
      </c>
      <c r="C380" t="s">
        <v>8</v>
      </c>
      <c r="D380">
        <v>1</v>
      </c>
      <c r="E380">
        <v>12</v>
      </c>
      <c r="F380">
        <v>0</v>
      </c>
      <c r="G380">
        <v>0</v>
      </c>
      <c r="H380" s="1">
        <f t="shared" si="10"/>
        <v>45792</v>
      </c>
      <c r="I380">
        <f t="shared" si="11"/>
        <v>20</v>
      </c>
    </row>
    <row r="381" spans="1:9" x14ac:dyDescent="0.2">
      <c r="A381">
        <v>20250515</v>
      </c>
      <c r="B381" t="s">
        <v>7</v>
      </c>
      <c r="C381" t="s">
        <v>8</v>
      </c>
      <c r="D381">
        <v>22</v>
      </c>
      <c r="E381">
        <v>56.909090909090899</v>
      </c>
      <c r="F381">
        <v>0</v>
      </c>
      <c r="G381">
        <v>0</v>
      </c>
      <c r="H381" s="1">
        <f t="shared" si="10"/>
        <v>45792</v>
      </c>
      <c r="I381">
        <f t="shared" si="11"/>
        <v>20</v>
      </c>
    </row>
    <row r="382" spans="1:9" x14ac:dyDescent="0.2">
      <c r="A382">
        <v>20250515</v>
      </c>
      <c r="B382" t="s">
        <v>10</v>
      </c>
      <c r="C382" t="s">
        <v>8</v>
      </c>
      <c r="D382">
        <v>5</v>
      </c>
      <c r="E382">
        <v>23</v>
      </c>
      <c r="F382">
        <v>0</v>
      </c>
      <c r="G382">
        <v>0</v>
      </c>
      <c r="H382" s="1">
        <f t="shared" si="10"/>
        <v>45792</v>
      </c>
      <c r="I382">
        <f t="shared" si="11"/>
        <v>20</v>
      </c>
    </row>
    <row r="383" spans="1:9" x14ac:dyDescent="0.2">
      <c r="A383">
        <v>20250516</v>
      </c>
      <c r="B383" t="s">
        <v>7</v>
      </c>
      <c r="C383" t="s">
        <v>8</v>
      </c>
      <c r="D383">
        <v>42</v>
      </c>
      <c r="E383">
        <v>74.428571428571402</v>
      </c>
      <c r="F383">
        <v>1</v>
      </c>
      <c r="G383">
        <v>2</v>
      </c>
      <c r="H383" s="1">
        <f t="shared" si="10"/>
        <v>45793</v>
      </c>
      <c r="I383">
        <f t="shared" si="11"/>
        <v>20</v>
      </c>
    </row>
    <row r="384" spans="1:9" x14ac:dyDescent="0.2">
      <c r="A384">
        <v>20250516</v>
      </c>
      <c r="B384" t="s">
        <v>9</v>
      </c>
      <c r="C384" t="s">
        <v>13</v>
      </c>
      <c r="D384">
        <v>5</v>
      </c>
      <c r="E384">
        <v>1</v>
      </c>
      <c r="F384">
        <v>0</v>
      </c>
      <c r="G384">
        <v>1</v>
      </c>
      <c r="H384" s="1">
        <f t="shared" si="10"/>
        <v>45793</v>
      </c>
      <c r="I384">
        <f t="shared" si="11"/>
        <v>20</v>
      </c>
    </row>
    <row r="385" spans="1:9" x14ac:dyDescent="0.2">
      <c r="A385">
        <v>20250516</v>
      </c>
      <c r="B385" t="s">
        <v>9</v>
      </c>
      <c r="C385" t="s">
        <v>8</v>
      </c>
      <c r="D385">
        <v>4</v>
      </c>
      <c r="E385">
        <v>42</v>
      </c>
      <c r="F385">
        <v>0</v>
      </c>
      <c r="G385">
        <v>0</v>
      </c>
      <c r="H385" s="1">
        <f t="shared" si="10"/>
        <v>45793</v>
      </c>
      <c r="I385">
        <f t="shared" si="11"/>
        <v>20</v>
      </c>
    </row>
    <row r="386" spans="1:9" x14ac:dyDescent="0.2">
      <c r="A386">
        <v>20250516</v>
      </c>
      <c r="B386" t="s">
        <v>10</v>
      </c>
      <c r="C386" t="s">
        <v>8</v>
      </c>
      <c r="D386">
        <v>3</v>
      </c>
      <c r="E386">
        <v>27.6666666666666</v>
      </c>
      <c r="F386">
        <v>0</v>
      </c>
      <c r="G386">
        <v>0</v>
      </c>
      <c r="H386" s="1">
        <f t="shared" ref="H386:H449" si="12">DATE(LEFT(A386,4),MID(A386,5,2),RIGHT(A386,2))</f>
        <v>45793</v>
      </c>
      <c r="I386">
        <f t="shared" ref="I386:I449" si="13">WEEKNUM(H386)</f>
        <v>20</v>
      </c>
    </row>
    <row r="387" spans="1:9" x14ac:dyDescent="0.2">
      <c r="A387">
        <v>20250516</v>
      </c>
      <c r="B387" t="s">
        <v>10</v>
      </c>
      <c r="C387" t="s">
        <v>13</v>
      </c>
      <c r="D387">
        <v>1</v>
      </c>
      <c r="E387">
        <v>1</v>
      </c>
      <c r="F387">
        <v>0</v>
      </c>
      <c r="G387">
        <v>0</v>
      </c>
      <c r="H387" s="1">
        <f t="shared" si="12"/>
        <v>45793</v>
      </c>
      <c r="I387">
        <f t="shared" si="13"/>
        <v>20</v>
      </c>
    </row>
    <row r="388" spans="1:9" x14ac:dyDescent="0.2">
      <c r="A388">
        <v>20250516</v>
      </c>
      <c r="B388" t="s">
        <v>10</v>
      </c>
      <c r="C388" t="s">
        <v>31</v>
      </c>
      <c r="D388">
        <v>1</v>
      </c>
      <c r="E388">
        <v>72</v>
      </c>
      <c r="F388">
        <v>0</v>
      </c>
      <c r="G388">
        <v>0</v>
      </c>
      <c r="H388" s="1">
        <f t="shared" si="12"/>
        <v>45793</v>
      </c>
      <c r="I388">
        <f t="shared" si="13"/>
        <v>20</v>
      </c>
    </row>
    <row r="389" spans="1:9" x14ac:dyDescent="0.2">
      <c r="A389">
        <v>20250517</v>
      </c>
      <c r="B389" t="s">
        <v>19</v>
      </c>
      <c r="C389" t="s">
        <v>8</v>
      </c>
      <c r="D389">
        <v>1</v>
      </c>
      <c r="E389">
        <v>87</v>
      </c>
      <c r="F389">
        <v>0</v>
      </c>
      <c r="G389">
        <v>0</v>
      </c>
      <c r="H389" s="1">
        <f t="shared" si="12"/>
        <v>45794</v>
      </c>
      <c r="I389">
        <f t="shared" si="13"/>
        <v>20</v>
      </c>
    </row>
    <row r="390" spans="1:9" x14ac:dyDescent="0.2">
      <c r="A390">
        <v>20250517</v>
      </c>
      <c r="B390" t="s">
        <v>16</v>
      </c>
      <c r="C390" t="s">
        <v>8</v>
      </c>
      <c r="D390">
        <v>1</v>
      </c>
      <c r="E390">
        <v>30</v>
      </c>
      <c r="F390">
        <v>0</v>
      </c>
      <c r="G390">
        <v>0</v>
      </c>
      <c r="H390" s="1">
        <f t="shared" si="12"/>
        <v>45794</v>
      </c>
      <c r="I390">
        <f t="shared" si="13"/>
        <v>20</v>
      </c>
    </row>
    <row r="391" spans="1:9" x14ac:dyDescent="0.2">
      <c r="A391">
        <v>20250517</v>
      </c>
      <c r="B391" t="s">
        <v>7</v>
      </c>
      <c r="C391" t="s">
        <v>8</v>
      </c>
      <c r="D391">
        <v>47</v>
      </c>
      <c r="E391">
        <v>55.170212765957402</v>
      </c>
      <c r="F391">
        <v>0</v>
      </c>
      <c r="G391">
        <v>0</v>
      </c>
      <c r="H391" s="1">
        <f t="shared" si="12"/>
        <v>45794</v>
      </c>
      <c r="I391">
        <f t="shared" si="13"/>
        <v>20</v>
      </c>
    </row>
    <row r="392" spans="1:9" x14ac:dyDescent="0.2">
      <c r="A392">
        <v>20250517</v>
      </c>
      <c r="B392" t="s">
        <v>9</v>
      </c>
      <c r="C392" t="s">
        <v>8</v>
      </c>
      <c r="D392">
        <v>9</v>
      </c>
      <c r="E392">
        <v>42.5555555555555</v>
      </c>
      <c r="F392">
        <v>0</v>
      </c>
      <c r="G392">
        <v>0</v>
      </c>
      <c r="H392" s="1">
        <f t="shared" si="12"/>
        <v>45794</v>
      </c>
      <c r="I392">
        <f t="shared" si="13"/>
        <v>20</v>
      </c>
    </row>
    <row r="393" spans="1:9" x14ac:dyDescent="0.2">
      <c r="A393">
        <v>20250517</v>
      </c>
      <c r="B393" t="s">
        <v>9</v>
      </c>
      <c r="C393" t="s">
        <v>13</v>
      </c>
      <c r="D393">
        <v>1</v>
      </c>
      <c r="E393">
        <v>84</v>
      </c>
      <c r="F393">
        <v>0</v>
      </c>
      <c r="G393">
        <v>0</v>
      </c>
      <c r="H393" s="1">
        <f t="shared" si="12"/>
        <v>45794</v>
      </c>
      <c r="I393">
        <f t="shared" si="13"/>
        <v>20</v>
      </c>
    </row>
    <row r="394" spans="1:9" x14ac:dyDescent="0.2">
      <c r="A394">
        <v>20250517</v>
      </c>
      <c r="B394" t="s">
        <v>10</v>
      </c>
      <c r="C394" t="s">
        <v>8</v>
      </c>
      <c r="D394">
        <v>11</v>
      </c>
      <c r="E394">
        <v>29.272727272727199</v>
      </c>
      <c r="F394">
        <v>0</v>
      </c>
      <c r="G394">
        <v>0</v>
      </c>
      <c r="H394" s="1">
        <f t="shared" si="12"/>
        <v>45794</v>
      </c>
      <c r="I394">
        <f t="shared" si="13"/>
        <v>20</v>
      </c>
    </row>
    <row r="395" spans="1:9" x14ac:dyDescent="0.2">
      <c r="A395">
        <v>20250518</v>
      </c>
      <c r="B395" t="s">
        <v>16</v>
      </c>
      <c r="C395" t="s">
        <v>8</v>
      </c>
      <c r="D395">
        <v>1</v>
      </c>
      <c r="E395">
        <v>29</v>
      </c>
      <c r="F395">
        <v>0</v>
      </c>
      <c r="G395">
        <v>0</v>
      </c>
      <c r="H395" s="1">
        <f t="shared" si="12"/>
        <v>45795</v>
      </c>
      <c r="I395">
        <f t="shared" si="13"/>
        <v>21</v>
      </c>
    </row>
    <row r="396" spans="1:9" x14ac:dyDescent="0.2">
      <c r="A396">
        <v>20250518</v>
      </c>
      <c r="B396" t="s">
        <v>7</v>
      </c>
      <c r="C396" t="s">
        <v>8</v>
      </c>
      <c r="D396">
        <v>162</v>
      </c>
      <c r="E396">
        <v>47.0061728395061</v>
      </c>
      <c r="F396">
        <v>0</v>
      </c>
      <c r="G396">
        <v>4</v>
      </c>
      <c r="H396" s="1">
        <f t="shared" si="12"/>
        <v>45795</v>
      </c>
      <c r="I396">
        <f t="shared" si="13"/>
        <v>21</v>
      </c>
    </row>
    <row r="397" spans="1:9" x14ac:dyDescent="0.2">
      <c r="A397">
        <v>20250518</v>
      </c>
      <c r="B397" t="s">
        <v>9</v>
      </c>
      <c r="C397" t="s">
        <v>8</v>
      </c>
      <c r="D397">
        <v>6</v>
      </c>
      <c r="E397">
        <v>39.5</v>
      </c>
      <c r="F397">
        <v>0</v>
      </c>
      <c r="G397">
        <v>0</v>
      </c>
      <c r="H397" s="1">
        <f t="shared" si="12"/>
        <v>45795</v>
      </c>
      <c r="I397">
        <f t="shared" si="13"/>
        <v>21</v>
      </c>
    </row>
    <row r="398" spans="1:9" x14ac:dyDescent="0.2">
      <c r="A398">
        <v>20250518</v>
      </c>
      <c r="B398" t="s">
        <v>10</v>
      </c>
      <c r="C398" t="s">
        <v>8</v>
      </c>
      <c r="D398">
        <v>9</v>
      </c>
      <c r="E398">
        <v>33.7777777777777</v>
      </c>
      <c r="F398">
        <v>0</v>
      </c>
      <c r="G398">
        <v>0</v>
      </c>
      <c r="H398" s="1">
        <f t="shared" si="12"/>
        <v>45795</v>
      </c>
      <c r="I398">
        <f t="shared" si="13"/>
        <v>21</v>
      </c>
    </row>
    <row r="399" spans="1:9" x14ac:dyDescent="0.2">
      <c r="A399">
        <v>20250519</v>
      </c>
      <c r="B399" t="s">
        <v>7</v>
      </c>
      <c r="C399" t="s">
        <v>8</v>
      </c>
      <c r="D399">
        <v>147</v>
      </c>
      <c r="E399">
        <v>48.408163265306101</v>
      </c>
      <c r="F399">
        <v>0</v>
      </c>
      <c r="G399">
        <v>1</v>
      </c>
      <c r="H399" s="1">
        <f t="shared" si="12"/>
        <v>45796</v>
      </c>
      <c r="I399">
        <f t="shared" si="13"/>
        <v>21</v>
      </c>
    </row>
    <row r="400" spans="1:9" x14ac:dyDescent="0.2">
      <c r="A400">
        <v>20250519</v>
      </c>
      <c r="B400" t="s">
        <v>14</v>
      </c>
      <c r="C400" t="s">
        <v>8</v>
      </c>
      <c r="D400">
        <v>1</v>
      </c>
      <c r="E400">
        <v>24</v>
      </c>
      <c r="F400">
        <v>0</v>
      </c>
      <c r="G400">
        <v>0</v>
      </c>
      <c r="H400" s="1">
        <f t="shared" si="12"/>
        <v>45796</v>
      </c>
      <c r="I400">
        <f t="shared" si="13"/>
        <v>21</v>
      </c>
    </row>
    <row r="401" spans="1:9" x14ac:dyDescent="0.2">
      <c r="A401">
        <v>20250519</v>
      </c>
      <c r="B401" t="s">
        <v>9</v>
      </c>
      <c r="C401" t="s">
        <v>8</v>
      </c>
      <c r="D401">
        <v>2</v>
      </c>
      <c r="E401">
        <v>44</v>
      </c>
      <c r="F401">
        <v>0</v>
      </c>
      <c r="G401">
        <v>0</v>
      </c>
      <c r="H401" s="1">
        <f t="shared" si="12"/>
        <v>45796</v>
      </c>
      <c r="I401">
        <f t="shared" si="13"/>
        <v>21</v>
      </c>
    </row>
    <row r="402" spans="1:9" x14ac:dyDescent="0.2">
      <c r="A402">
        <v>20250519</v>
      </c>
      <c r="B402" t="s">
        <v>10</v>
      </c>
      <c r="C402" t="s">
        <v>8</v>
      </c>
      <c r="D402">
        <v>1</v>
      </c>
      <c r="E402">
        <v>96</v>
      </c>
      <c r="F402">
        <v>0</v>
      </c>
      <c r="G402">
        <v>0</v>
      </c>
      <c r="H402" s="1">
        <f t="shared" si="12"/>
        <v>45796</v>
      </c>
      <c r="I402">
        <f t="shared" si="13"/>
        <v>21</v>
      </c>
    </row>
    <row r="403" spans="1:9" x14ac:dyDescent="0.2">
      <c r="A403">
        <v>20250519</v>
      </c>
      <c r="B403" t="s">
        <v>10</v>
      </c>
      <c r="C403" t="s">
        <v>26</v>
      </c>
      <c r="D403">
        <v>1</v>
      </c>
      <c r="E403">
        <v>93</v>
      </c>
      <c r="F403">
        <v>0</v>
      </c>
      <c r="G403">
        <v>0</v>
      </c>
      <c r="H403" s="1">
        <f t="shared" si="12"/>
        <v>45796</v>
      </c>
      <c r="I403">
        <f t="shared" si="13"/>
        <v>21</v>
      </c>
    </row>
    <row r="404" spans="1:9" x14ac:dyDescent="0.2">
      <c r="A404">
        <v>20250520</v>
      </c>
      <c r="B404" t="s">
        <v>12</v>
      </c>
      <c r="C404" t="s">
        <v>8</v>
      </c>
      <c r="D404">
        <v>2</v>
      </c>
      <c r="E404">
        <v>23.5</v>
      </c>
      <c r="F404">
        <v>0</v>
      </c>
      <c r="G404">
        <v>0</v>
      </c>
      <c r="H404" s="1">
        <f t="shared" si="12"/>
        <v>45797</v>
      </c>
      <c r="I404">
        <f t="shared" si="13"/>
        <v>21</v>
      </c>
    </row>
    <row r="405" spans="1:9" x14ac:dyDescent="0.2">
      <c r="A405">
        <v>20250520</v>
      </c>
      <c r="B405" t="s">
        <v>7</v>
      </c>
      <c r="C405" t="s">
        <v>8</v>
      </c>
      <c r="D405">
        <v>89</v>
      </c>
      <c r="E405">
        <v>57.213483146067396</v>
      </c>
      <c r="F405">
        <v>0</v>
      </c>
      <c r="G405">
        <v>0</v>
      </c>
      <c r="H405" s="1">
        <f t="shared" si="12"/>
        <v>45797</v>
      </c>
      <c r="I405">
        <f t="shared" si="13"/>
        <v>21</v>
      </c>
    </row>
    <row r="406" spans="1:9" x14ac:dyDescent="0.2">
      <c r="A406">
        <v>20250520</v>
      </c>
      <c r="B406" t="s">
        <v>9</v>
      </c>
      <c r="C406" t="s">
        <v>8</v>
      </c>
      <c r="D406">
        <v>2</v>
      </c>
      <c r="E406">
        <v>48</v>
      </c>
      <c r="F406">
        <v>0</v>
      </c>
      <c r="G406">
        <v>0</v>
      </c>
      <c r="H406" s="1">
        <f t="shared" si="12"/>
        <v>45797</v>
      </c>
      <c r="I406">
        <f t="shared" si="13"/>
        <v>21</v>
      </c>
    </row>
    <row r="407" spans="1:9" x14ac:dyDescent="0.2">
      <c r="A407">
        <v>20250520</v>
      </c>
      <c r="B407" t="s">
        <v>10</v>
      </c>
      <c r="C407" t="s">
        <v>8</v>
      </c>
      <c r="D407">
        <v>3</v>
      </c>
      <c r="E407">
        <v>27.6666666666666</v>
      </c>
      <c r="F407">
        <v>0</v>
      </c>
      <c r="G407">
        <v>0</v>
      </c>
      <c r="H407" s="1">
        <f t="shared" si="12"/>
        <v>45797</v>
      </c>
      <c r="I407">
        <f t="shared" si="13"/>
        <v>21</v>
      </c>
    </row>
    <row r="408" spans="1:9" x14ac:dyDescent="0.2">
      <c r="A408">
        <v>20250521</v>
      </c>
      <c r="B408" t="s">
        <v>7</v>
      </c>
      <c r="C408" t="s">
        <v>8</v>
      </c>
      <c r="D408">
        <v>57</v>
      </c>
      <c r="E408">
        <v>49.684210526315702</v>
      </c>
      <c r="F408">
        <v>0</v>
      </c>
      <c r="G408">
        <v>0</v>
      </c>
      <c r="H408" s="1">
        <f t="shared" si="12"/>
        <v>45798</v>
      </c>
      <c r="I408">
        <f t="shared" si="13"/>
        <v>21</v>
      </c>
    </row>
    <row r="409" spans="1:9" x14ac:dyDescent="0.2">
      <c r="A409">
        <v>20250521</v>
      </c>
      <c r="B409" t="s">
        <v>9</v>
      </c>
      <c r="C409" t="s">
        <v>8</v>
      </c>
      <c r="D409">
        <v>7</v>
      </c>
      <c r="E409">
        <v>23.714285714285701</v>
      </c>
      <c r="F409">
        <v>0</v>
      </c>
      <c r="G409">
        <v>0</v>
      </c>
      <c r="H409" s="1">
        <f t="shared" si="12"/>
        <v>45798</v>
      </c>
      <c r="I409">
        <f t="shared" si="13"/>
        <v>21</v>
      </c>
    </row>
    <row r="410" spans="1:9" x14ac:dyDescent="0.2">
      <c r="A410">
        <v>20250521</v>
      </c>
      <c r="B410" t="s">
        <v>9</v>
      </c>
      <c r="C410" t="s">
        <v>13</v>
      </c>
      <c r="D410">
        <v>2</v>
      </c>
      <c r="E410">
        <v>1</v>
      </c>
      <c r="F410">
        <v>0</v>
      </c>
      <c r="G410">
        <v>0</v>
      </c>
      <c r="H410" s="1">
        <f t="shared" si="12"/>
        <v>45798</v>
      </c>
      <c r="I410">
        <f t="shared" si="13"/>
        <v>21</v>
      </c>
    </row>
    <row r="411" spans="1:9" x14ac:dyDescent="0.2">
      <c r="A411">
        <v>20250522</v>
      </c>
      <c r="B411" t="s">
        <v>12</v>
      </c>
      <c r="C411" t="s">
        <v>17</v>
      </c>
      <c r="D411">
        <v>1</v>
      </c>
      <c r="E411">
        <v>25</v>
      </c>
      <c r="F411">
        <v>0</v>
      </c>
      <c r="G411">
        <v>0</v>
      </c>
      <c r="H411" s="1">
        <f t="shared" si="12"/>
        <v>45799</v>
      </c>
      <c r="I411">
        <f t="shared" si="13"/>
        <v>21</v>
      </c>
    </row>
    <row r="412" spans="1:9" x14ac:dyDescent="0.2">
      <c r="A412">
        <v>20250522</v>
      </c>
      <c r="B412" t="s">
        <v>29</v>
      </c>
      <c r="C412" t="s">
        <v>8</v>
      </c>
      <c r="D412">
        <v>1</v>
      </c>
      <c r="E412">
        <v>36</v>
      </c>
      <c r="F412">
        <v>0</v>
      </c>
      <c r="G412">
        <v>0</v>
      </c>
      <c r="H412" s="1">
        <f t="shared" si="12"/>
        <v>45799</v>
      </c>
      <c r="I412">
        <f t="shared" si="13"/>
        <v>21</v>
      </c>
    </row>
    <row r="413" spans="1:9" x14ac:dyDescent="0.2">
      <c r="A413">
        <v>20250522</v>
      </c>
      <c r="B413" t="s">
        <v>7</v>
      </c>
      <c r="C413" t="s">
        <v>8</v>
      </c>
      <c r="D413">
        <v>3</v>
      </c>
      <c r="E413">
        <v>32.6666666666666</v>
      </c>
      <c r="F413">
        <v>0</v>
      </c>
      <c r="G413">
        <v>0</v>
      </c>
      <c r="H413" s="1">
        <f t="shared" si="12"/>
        <v>45799</v>
      </c>
      <c r="I413">
        <f t="shared" si="13"/>
        <v>21</v>
      </c>
    </row>
    <row r="414" spans="1:9" x14ac:dyDescent="0.2">
      <c r="A414">
        <v>20250522</v>
      </c>
      <c r="B414" t="s">
        <v>7</v>
      </c>
      <c r="C414" t="s">
        <v>17</v>
      </c>
      <c r="D414">
        <v>1</v>
      </c>
      <c r="E414">
        <v>1</v>
      </c>
      <c r="F414">
        <v>0</v>
      </c>
      <c r="G414">
        <v>0</v>
      </c>
      <c r="H414" s="1">
        <f t="shared" si="12"/>
        <v>45799</v>
      </c>
      <c r="I414">
        <f t="shared" si="13"/>
        <v>21</v>
      </c>
    </row>
    <row r="415" spans="1:9" x14ac:dyDescent="0.2">
      <c r="A415">
        <v>20250522</v>
      </c>
      <c r="B415" t="s">
        <v>10</v>
      </c>
      <c r="C415" t="s">
        <v>8</v>
      </c>
      <c r="D415">
        <v>4</v>
      </c>
      <c r="E415">
        <v>22</v>
      </c>
      <c r="F415">
        <v>0</v>
      </c>
      <c r="G415">
        <v>0</v>
      </c>
      <c r="H415" s="1">
        <f t="shared" si="12"/>
        <v>45799</v>
      </c>
      <c r="I415">
        <f t="shared" si="13"/>
        <v>21</v>
      </c>
    </row>
    <row r="416" spans="1:9" x14ac:dyDescent="0.2">
      <c r="A416">
        <v>20250523</v>
      </c>
      <c r="B416" t="s">
        <v>16</v>
      </c>
      <c r="C416" t="s">
        <v>8</v>
      </c>
      <c r="D416">
        <v>1</v>
      </c>
      <c r="E416">
        <v>9</v>
      </c>
      <c r="F416">
        <v>0</v>
      </c>
      <c r="G416">
        <v>0</v>
      </c>
      <c r="H416" s="1">
        <f t="shared" si="12"/>
        <v>45800</v>
      </c>
      <c r="I416">
        <f t="shared" si="13"/>
        <v>21</v>
      </c>
    </row>
    <row r="417" spans="1:9" x14ac:dyDescent="0.2">
      <c r="A417">
        <v>20250523</v>
      </c>
      <c r="B417" t="s">
        <v>16</v>
      </c>
      <c r="C417" t="s">
        <v>28</v>
      </c>
      <c r="D417">
        <v>1</v>
      </c>
      <c r="E417">
        <v>34</v>
      </c>
      <c r="F417">
        <v>0</v>
      </c>
      <c r="G417">
        <v>0</v>
      </c>
      <c r="H417" s="1">
        <f t="shared" si="12"/>
        <v>45800</v>
      </c>
      <c r="I417">
        <f t="shared" si="13"/>
        <v>21</v>
      </c>
    </row>
    <row r="418" spans="1:9" x14ac:dyDescent="0.2">
      <c r="A418">
        <v>20250523</v>
      </c>
      <c r="B418" t="s">
        <v>7</v>
      </c>
      <c r="C418" t="s">
        <v>8</v>
      </c>
      <c r="D418">
        <v>8</v>
      </c>
      <c r="E418">
        <v>10.375</v>
      </c>
      <c r="F418">
        <v>0</v>
      </c>
      <c r="G418">
        <v>2</v>
      </c>
      <c r="H418" s="1">
        <f t="shared" si="12"/>
        <v>45800</v>
      </c>
      <c r="I418">
        <f t="shared" si="13"/>
        <v>21</v>
      </c>
    </row>
    <row r="419" spans="1:9" x14ac:dyDescent="0.2">
      <c r="A419">
        <v>20250523</v>
      </c>
      <c r="B419" t="s">
        <v>14</v>
      </c>
      <c r="C419" t="s">
        <v>8</v>
      </c>
      <c r="D419">
        <v>1</v>
      </c>
      <c r="E419">
        <v>22</v>
      </c>
      <c r="F419">
        <v>0</v>
      </c>
      <c r="G419">
        <v>0</v>
      </c>
      <c r="H419" s="1">
        <f t="shared" si="12"/>
        <v>45800</v>
      </c>
      <c r="I419">
        <f t="shared" si="13"/>
        <v>21</v>
      </c>
    </row>
    <row r="420" spans="1:9" x14ac:dyDescent="0.2">
      <c r="A420">
        <v>20250523</v>
      </c>
      <c r="B420" t="s">
        <v>9</v>
      </c>
      <c r="C420" t="s">
        <v>15</v>
      </c>
      <c r="D420">
        <v>1</v>
      </c>
      <c r="E420">
        <v>1</v>
      </c>
      <c r="F420">
        <v>0</v>
      </c>
      <c r="G420">
        <v>0</v>
      </c>
      <c r="H420" s="1">
        <f t="shared" si="12"/>
        <v>45800</v>
      </c>
      <c r="I420">
        <f t="shared" si="13"/>
        <v>21</v>
      </c>
    </row>
    <row r="421" spans="1:9" x14ac:dyDescent="0.2">
      <c r="A421">
        <v>20250523</v>
      </c>
      <c r="B421" t="s">
        <v>9</v>
      </c>
      <c r="C421" t="s">
        <v>8</v>
      </c>
      <c r="D421">
        <v>1</v>
      </c>
      <c r="E421">
        <v>40</v>
      </c>
      <c r="F421">
        <v>0</v>
      </c>
      <c r="G421">
        <v>0</v>
      </c>
      <c r="H421" s="1">
        <f t="shared" si="12"/>
        <v>45800</v>
      </c>
      <c r="I421">
        <f t="shared" si="13"/>
        <v>21</v>
      </c>
    </row>
    <row r="422" spans="1:9" x14ac:dyDescent="0.2">
      <c r="A422">
        <v>20250523</v>
      </c>
      <c r="B422" t="s">
        <v>10</v>
      </c>
      <c r="C422" t="s">
        <v>8</v>
      </c>
      <c r="D422">
        <v>3</v>
      </c>
      <c r="E422">
        <v>32.3333333333333</v>
      </c>
      <c r="F422">
        <v>0</v>
      </c>
      <c r="G422">
        <v>0</v>
      </c>
      <c r="H422" s="1">
        <f t="shared" si="12"/>
        <v>45800</v>
      </c>
      <c r="I422">
        <f t="shared" si="13"/>
        <v>21</v>
      </c>
    </row>
    <row r="423" spans="1:9" x14ac:dyDescent="0.2">
      <c r="A423">
        <v>20250524</v>
      </c>
      <c r="B423" t="s">
        <v>29</v>
      </c>
      <c r="C423" t="s">
        <v>8</v>
      </c>
      <c r="D423">
        <v>1</v>
      </c>
      <c r="E423">
        <v>36</v>
      </c>
      <c r="F423">
        <v>0</v>
      </c>
      <c r="G423">
        <v>0</v>
      </c>
      <c r="H423" s="1">
        <f t="shared" si="12"/>
        <v>45801</v>
      </c>
      <c r="I423">
        <f t="shared" si="13"/>
        <v>21</v>
      </c>
    </row>
    <row r="424" spans="1:9" x14ac:dyDescent="0.2">
      <c r="A424">
        <v>20250524</v>
      </c>
      <c r="B424" t="s">
        <v>7</v>
      </c>
      <c r="C424" t="s">
        <v>8</v>
      </c>
      <c r="D424">
        <v>16</v>
      </c>
      <c r="E424">
        <v>11.9375</v>
      </c>
      <c r="F424">
        <v>0</v>
      </c>
      <c r="G424">
        <v>0</v>
      </c>
      <c r="H424" s="1">
        <f t="shared" si="12"/>
        <v>45801</v>
      </c>
      <c r="I424">
        <f t="shared" si="13"/>
        <v>21</v>
      </c>
    </row>
    <row r="425" spans="1:9" x14ac:dyDescent="0.2">
      <c r="A425">
        <v>20250524</v>
      </c>
      <c r="B425" t="s">
        <v>9</v>
      </c>
      <c r="C425" t="s">
        <v>15</v>
      </c>
      <c r="D425">
        <v>6</v>
      </c>
      <c r="E425">
        <v>1</v>
      </c>
      <c r="F425">
        <v>0</v>
      </c>
      <c r="G425">
        <v>0</v>
      </c>
      <c r="H425" s="1">
        <f t="shared" si="12"/>
        <v>45801</v>
      </c>
      <c r="I425">
        <f t="shared" si="13"/>
        <v>21</v>
      </c>
    </row>
    <row r="426" spans="1:9" x14ac:dyDescent="0.2">
      <c r="A426">
        <v>20250524</v>
      </c>
      <c r="B426" t="s">
        <v>9</v>
      </c>
      <c r="C426" t="s">
        <v>8</v>
      </c>
      <c r="D426">
        <v>1</v>
      </c>
      <c r="E426">
        <v>27</v>
      </c>
      <c r="F426">
        <v>0</v>
      </c>
      <c r="G426">
        <v>0</v>
      </c>
      <c r="H426" s="1">
        <f t="shared" si="12"/>
        <v>45801</v>
      </c>
      <c r="I426">
        <f t="shared" si="13"/>
        <v>21</v>
      </c>
    </row>
    <row r="427" spans="1:9" x14ac:dyDescent="0.2">
      <c r="A427">
        <v>20250524</v>
      </c>
      <c r="B427" t="s">
        <v>10</v>
      </c>
      <c r="C427" t="s">
        <v>8</v>
      </c>
      <c r="D427">
        <v>3</v>
      </c>
      <c r="E427">
        <v>32.6666666666666</v>
      </c>
      <c r="F427">
        <v>0</v>
      </c>
      <c r="G427">
        <v>0</v>
      </c>
      <c r="H427" s="1">
        <f t="shared" si="12"/>
        <v>45801</v>
      </c>
      <c r="I427">
        <f t="shared" si="13"/>
        <v>21</v>
      </c>
    </row>
    <row r="428" spans="1:9" x14ac:dyDescent="0.2">
      <c r="A428">
        <v>20250525</v>
      </c>
      <c r="B428" t="s">
        <v>12</v>
      </c>
      <c r="C428" t="s">
        <v>8</v>
      </c>
      <c r="D428">
        <v>1</v>
      </c>
      <c r="E428">
        <v>1</v>
      </c>
      <c r="F428">
        <v>1</v>
      </c>
      <c r="G428">
        <v>1</v>
      </c>
      <c r="H428" s="1">
        <f t="shared" si="12"/>
        <v>45802</v>
      </c>
      <c r="I428">
        <f t="shared" si="13"/>
        <v>22</v>
      </c>
    </row>
    <row r="429" spans="1:9" x14ac:dyDescent="0.2">
      <c r="A429">
        <v>20250525</v>
      </c>
      <c r="B429" t="s">
        <v>7</v>
      </c>
      <c r="C429" t="s">
        <v>8</v>
      </c>
      <c r="D429">
        <v>9</v>
      </c>
      <c r="E429">
        <v>8.8888888888888893</v>
      </c>
      <c r="F429">
        <v>0</v>
      </c>
      <c r="G429">
        <v>0</v>
      </c>
      <c r="H429" s="1">
        <f t="shared" si="12"/>
        <v>45802</v>
      </c>
      <c r="I429">
        <f t="shared" si="13"/>
        <v>22</v>
      </c>
    </row>
    <row r="430" spans="1:9" x14ac:dyDescent="0.2">
      <c r="A430">
        <v>20250525</v>
      </c>
      <c r="B430" t="s">
        <v>9</v>
      </c>
      <c r="C430" t="s">
        <v>13</v>
      </c>
      <c r="D430">
        <v>7</v>
      </c>
      <c r="E430">
        <v>2</v>
      </c>
      <c r="F430">
        <v>0</v>
      </c>
      <c r="G430">
        <v>0</v>
      </c>
      <c r="H430" s="1">
        <f t="shared" si="12"/>
        <v>45802</v>
      </c>
      <c r="I430">
        <f t="shared" si="13"/>
        <v>22</v>
      </c>
    </row>
    <row r="431" spans="1:9" x14ac:dyDescent="0.2">
      <c r="A431">
        <v>20250525</v>
      </c>
      <c r="B431" t="s">
        <v>9</v>
      </c>
      <c r="C431" t="s">
        <v>8</v>
      </c>
      <c r="D431">
        <v>2</v>
      </c>
      <c r="E431">
        <v>19</v>
      </c>
      <c r="F431">
        <v>0</v>
      </c>
      <c r="G431">
        <v>0</v>
      </c>
      <c r="H431" s="1">
        <f t="shared" si="12"/>
        <v>45802</v>
      </c>
      <c r="I431">
        <f t="shared" si="13"/>
        <v>22</v>
      </c>
    </row>
    <row r="432" spans="1:9" x14ac:dyDescent="0.2">
      <c r="A432">
        <v>20250525</v>
      </c>
      <c r="B432" t="s">
        <v>10</v>
      </c>
      <c r="C432" t="s">
        <v>18</v>
      </c>
      <c r="D432">
        <v>3</v>
      </c>
      <c r="E432">
        <v>1</v>
      </c>
      <c r="F432">
        <v>0</v>
      </c>
      <c r="G432">
        <v>0</v>
      </c>
      <c r="H432" s="1">
        <f t="shared" si="12"/>
        <v>45802</v>
      </c>
      <c r="I432">
        <f t="shared" si="13"/>
        <v>22</v>
      </c>
    </row>
    <row r="433" spans="1:9" x14ac:dyDescent="0.2">
      <c r="A433">
        <v>20250525</v>
      </c>
      <c r="B433" t="s">
        <v>10</v>
      </c>
      <c r="C433" t="s">
        <v>8</v>
      </c>
      <c r="D433">
        <v>1</v>
      </c>
      <c r="E433">
        <v>40</v>
      </c>
      <c r="F433">
        <v>0</v>
      </c>
      <c r="G433">
        <v>0</v>
      </c>
      <c r="H433" s="1">
        <f t="shared" si="12"/>
        <v>45802</v>
      </c>
      <c r="I433">
        <f t="shared" si="13"/>
        <v>22</v>
      </c>
    </row>
    <row r="434" spans="1:9" x14ac:dyDescent="0.2">
      <c r="A434">
        <v>20250526</v>
      </c>
      <c r="B434" t="s">
        <v>16</v>
      </c>
      <c r="C434" t="s">
        <v>8</v>
      </c>
      <c r="D434">
        <v>3</v>
      </c>
      <c r="E434">
        <v>8</v>
      </c>
      <c r="F434">
        <v>0</v>
      </c>
      <c r="G434">
        <v>0</v>
      </c>
      <c r="H434" s="1">
        <f t="shared" si="12"/>
        <v>45803</v>
      </c>
      <c r="I434">
        <f t="shared" si="13"/>
        <v>22</v>
      </c>
    </row>
    <row r="435" spans="1:9" x14ac:dyDescent="0.2">
      <c r="A435">
        <v>20250526</v>
      </c>
      <c r="B435" t="s">
        <v>7</v>
      </c>
      <c r="C435" t="s">
        <v>8</v>
      </c>
      <c r="D435">
        <v>20</v>
      </c>
      <c r="E435">
        <v>9.5</v>
      </c>
      <c r="F435">
        <v>0</v>
      </c>
      <c r="G435">
        <v>0</v>
      </c>
      <c r="H435" s="1">
        <f t="shared" si="12"/>
        <v>45803</v>
      </c>
      <c r="I435">
        <f t="shared" si="13"/>
        <v>22</v>
      </c>
    </row>
    <row r="436" spans="1:9" x14ac:dyDescent="0.2">
      <c r="A436">
        <v>20250526</v>
      </c>
      <c r="B436" t="s">
        <v>9</v>
      </c>
      <c r="C436" t="s">
        <v>13</v>
      </c>
      <c r="D436">
        <v>7</v>
      </c>
      <c r="E436">
        <v>1</v>
      </c>
      <c r="F436">
        <v>0</v>
      </c>
      <c r="G436">
        <v>0</v>
      </c>
      <c r="H436" s="1">
        <f t="shared" si="12"/>
        <v>45803</v>
      </c>
      <c r="I436">
        <f t="shared" si="13"/>
        <v>22</v>
      </c>
    </row>
    <row r="437" spans="1:9" x14ac:dyDescent="0.2">
      <c r="A437">
        <v>20250526</v>
      </c>
      <c r="B437" t="s">
        <v>9</v>
      </c>
      <c r="C437" t="s">
        <v>8</v>
      </c>
      <c r="D437">
        <v>1</v>
      </c>
      <c r="E437">
        <v>40</v>
      </c>
      <c r="F437">
        <v>0</v>
      </c>
      <c r="G437">
        <v>0</v>
      </c>
      <c r="H437" s="1">
        <f t="shared" si="12"/>
        <v>45803</v>
      </c>
      <c r="I437">
        <f t="shared" si="13"/>
        <v>22</v>
      </c>
    </row>
    <row r="438" spans="1:9" x14ac:dyDescent="0.2">
      <c r="A438">
        <v>20250526</v>
      </c>
      <c r="B438" t="s">
        <v>10</v>
      </c>
      <c r="C438" t="s">
        <v>8</v>
      </c>
      <c r="D438">
        <v>1</v>
      </c>
      <c r="E438">
        <v>25</v>
      </c>
      <c r="F438">
        <v>0</v>
      </c>
      <c r="G438">
        <v>0</v>
      </c>
      <c r="H438" s="1">
        <f t="shared" si="12"/>
        <v>45803</v>
      </c>
      <c r="I438">
        <f t="shared" si="13"/>
        <v>22</v>
      </c>
    </row>
    <row r="439" spans="1:9" x14ac:dyDescent="0.2">
      <c r="A439">
        <v>20250527</v>
      </c>
      <c r="B439" t="s">
        <v>12</v>
      </c>
      <c r="C439" t="s">
        <v>8</v>
      </c>
      <c r="D439">
        <v>9</v>
      </c>
      <c r="E439">
        <v>44.6666666666666</v>
      </c>
      <c r="F439">
        <v>0</v>
      </c>
      <c r="G439">
        <v>0</v>
      </c>
      <c r="H439" s="1">
        <f t="shared" si="12"/>
        <v>45804</v>
      </c>
      <c r="I439">
        <f t="shared" si="13"/>
        <v>22</v>
      </c>
    </row>
    <row r="440" spans="1:9" x14ac:dyDescent="0.2">
      <c r="A440">
        <v>20250527</v>
      </c>
      <c r="B440" t="s">
        <v>7</v>
      </c>
      <c r="C440" t="s">
        <v>8</v>
      </c>
      <c r="D440">
        <v>22</v>
      </c>
      <c r="E440">
        <v>9.1818181818181799</v>
      </c>
      <c r="F440">
        <v>0</v>
      </c>
      <c r="G440">
        <v>0</v>
      </c>
      <c r="H440" s="1">
        <f t="shared" si="12"/>
        <v>45804</v>
      </c>
      <c r="I440">
        <f t="shared" si="13"/>
        <v>22</v>
      </c>
    </row>
    <row r="441" spans="1:9" x14ac:dyDescent="0.2">
      <c r="A441">
        <v>20250527</v>
      </c>
      <c r="B441" t="s">
        <v>14</v>
      </c>
      <c r="C441" t="s">
        <v>8</v>
      </c>
      <c r="D441">
        <v>7</v>
      </c>
      <c r="E441">
        <v>1</v>
      </c>
      <c r="F441">
        <v>0</v>
      </c>
      <c r="G441">
        <v>0</v>
      </c>
      <c r="H441" s="1">
        <f t="shared" si="12"/>
        <v>45804</v>
      </c>
      <c r="I441">
        <f t="shared" si="13"/>
        <v>22</v>
      </c>
    </row>
    <row r="442" spans="1:9" x14ac:dyDescent="0.2">
      <c r="A442">
        <v>20250527</v>
      </c>
      <c r="B442" t="s">
        <v>9</v>
      </c>
      <c r="C442" t="s">
        <v>8</v>
      </c>
      <c r="D442">
        <v>1</v>
      </c>
      <c r="E442">
        <v>2</v>
      </c>
      <c r="F442">
        <v>1</v>
      </c>
      <c r="G442">
        <v>2</v>
      </c>
      <c r="H442" s="1">
        <f t="shared" si="12"/>
        <v>45804</v>
      </c>
      <c r="I442">
        <f t="shared" si="13"/>
        <v>22</v>
      </c>
    </row>
    <row r="443" spans="1:9" x14ac:dyDescent="0.2">
      <c r="A443">
        <v>20250527</v>
      </c>
      <c r="B443" t="s">
        <v>10</v>
      </c>
      <c r="C443" t="s">
        <v>8</v>
      </c>
      <c r="D443">
        <v>3</v>
      </c>
      <c r="E443">
        <v>12.6666666666666</v>
      </c>
      <c r="F443">
        <v>0</v>
      </c>
      <c r="G443">
        <v>0</v>
      </c>
      <c r="H443" s="1">
        <f t="shared" si="12"/>
        <v>45804</v>
      </c>
      <c r="I443">
        <f t="shared" si="13"/>
        <v>22</v>
      </c>
    </row>
    <row r="444" spans="1:9" x14ac:dyDescent="0.2">
      <c r="A444">
        <v>20250528</v>
      </c>
      <c r="B444" t="s">
        <v>12</v>
      </c>
      <c r="C444" t="s">
        <v>8</v>
      </c>
      <c r="D444">
        <v>1</v>
      </c>
      <c r="E444">
        <v>75</v>
      </c>
      <c r="F444">
        <v>0</v>
      </c>
      <c r="G444">
        <v>0</v>
      </c>
      <c r="H444" s="1">
        <f t="shared" si="12"/>
        <v>45805</v>
      </c>
      <c r="I444">
        <f t="shared" si="13"/>
        <v>22</v>
      </c>
    </row>
    <row r="445" spans="1:9" x14ac:dyDescent="0.2">
      <c r="A445">
        <v>20250528</v>
      </c>
      <c r="B445" t="s">
        <v>16</v>
      </c>
      <c r="C445" t="s">
        <v>8</v>
      </c>
      <c r="D445">
        <v>1</v>
      </c>
      <c r="E445">
        <v>36</v>
      </c>
      <c r="F445">
        <v>0</v>
      </c>
      <c r="G445">
        <v>0</v>
      </c>
      <c r="H445" s="1">
        <f t="shared" si="12"/>
        <v>45805</v>
      </c>
      <c r="I445">
        <f t="shared" si="13"/>
        <v>22</v>
      </c>
    </row>
    <row r="446" spans="1:9" x14ac:dyDescent="0.2">
      <c r="A446">
        <v>20250528</v>
      </c>
      <c r="B446" t="s">
        <v>7</v>
      </c>
      <c r="C446" t="s">
        <v>8</v>
      </c>
      <c r="D446">
        <v>10</v>
      </c>
      <c r="E446">
        <v>22.7</v>
      </c>
      <c r="F446">
        <v>0</v>
      </c>
      <c r="G446">
        <v>0</v>
      </c>
      <c r="H446" s="1">
        <f t="shared" si="12"/>
        <v>45805</v>
      </c>
      <c r="I446">
        <f t="shared" si="13"/>
        <v>22</v>
      </c>
    </row>
    <row r="447" spans="1:9" x14ac:dyDescent="0.2">
      <c r="A447">
        <v>20250528</v>
      </c>
      <c r="B447" t="s">
        <v>23</v>
      </c>
      <c r="C447" t="s">
        <v>13</v>
      </c>
      <c r="D447">
        <v>1</v>
      </c>
      <c r="E447">
        <v>1</v>
      </c>
      <c r="F447">
        <v>0</v>
      </c>
      <c r="G447">
        <v>0</v>
      </c>
      <c r="H447" s="1">
        <f t="shared" si="12"/>
        <v>45805</v>
      </c>
      <c r="I447">
        <f t="shared" si="13"/>
        <v>22</v>
      </c>
    </row>
    <row r="448" spans="1:9" x14ac:dyDescent="0.2">
      <c r="A448">
        <v>20250528</v>
      </c>
      <c r="B448" t="s">
        <v>9</v>
      </c>
      <c r="C448" t="s">
        <v>8</v>
      </c>
      <c r="D448">
        <v>10</v>
      </c>
      <c r="E448">
        <v>21</v>
      </c>
      <c r="F448">
        <v>0</v>
      </c>
      <c r="G448">
        <v>4</v>
      </c>
      <c r="H448" s="1">
        <f t="shared" si="12"/>
        <v>45805</v>
      </c>
      <c r="I448">
        <f t="shared" si="13"/>
        <v>22</v>
      </c>
    </row>
    <row r="449" spans="1:9" x14ac:dyDescent="0.2">
      <c r="A449">
        <v>20250528</v>
      </c>
      <c r="B449" t="s">
        <v>10</v>
      </c>
      <c r="C449" t="s">
        <v>8</v>
      </c>
      <c r="D449">
        <v>3</v>
      </c>
      <c r="E449">
        <v>29</v>
      </c>
      <c r="F449">
        <v>0</v>
      </c>
      <c r="G449">
        <v>2</v>
      </c>
      <c r="H449" s="1">
        <f t="shared" si="12"/>
        <v>45805</v>
      </c>
      <c r="I449">
        <f t="shared" si="13"/>
        <v>22</v>
      </c>
    </row>
    <row r="450" spans="1:9" x14ac:dyDescent="0.2">
      <c r="A450">
        <v>20250529</v>
      </c>
      <c r="B450" t="s">
        <v>7</v>
      </c>
      <c r="C450" t="s">
        <v>8</v>
      </c>
      <c r="D450">
        <v>9</v>
      </c>
      <c r="E450">
        <v>12.6666666666666</v>
      </c>
      <c r="F450">
        <v>0</v>
      </c>
      <c r="G450">
        <v>0</v>
      </c>
      <c r="H450" s="1">
        <f t="shared" ref="H450:H513" si="14">DATE(LEFT(A450,4),MID(A450,5,2),RIGHT(A450,2))</f>
        <v>45806</v>
      </c>
      <c r="I450">
        <f t="shared" ref="I450:I513" si="15">WEEKNUM(H450)</f>
        <v>22</v>
      </c>
    </row>
    <row r="451" spans="1:9" x14ac:dyDescent="0.2">
      <c r="A451">
        <v>20250529</v>
      </c>
      <c r="B451" t="s">
        <v>9</v>
      </c>
      <c r="C451" t="s">
        <v>8</v>
      </c>
      <c r="D451">
        <v>15</v>
      </c>
      <c r="E451">
        <v>9.2666666666666604</v>
      </c>
      <c r="F451">
        <v>0</v>
      </c>
      <c r="G451">
        <v>0</v>
      </c>
      <c r="H451" s="1">
        <f t="shared" si="14"/>
        <v>45806</v>
      </c>
      <c r="I451">
        <f t="shared" si="15"/>
        <v>22</v>
      </c>
    </row>
    <row r="452" spans="1:9" x14ac:dyDescent="0.2">
      <c r="A452">
        <v>20250529</v>
      </c>
      <c r="B452" t="s">
        <v>9</v>
      </c>
      <c r="C452" t="s">
        <v>32</v>
      </c>
      <c r="D452">
        <v>1</v>
      </c>
      <c r="E452">
        <v>10</v>
      </c>
      <c r="F452">
        <v>0</v>
      </c>
      <c r="G452">
        <v>0</v>
      </c>
      <c r="H452" s="1">
        <f t="shared" si="14"/>
        <v>45806</v>
      </c>
      <c r="I452">
        <f t="shared" si="15"/>
        <v>22</v>
      </c>
    </row>
    <row r="453" spans="1:9" x14ac:dyDescent="0.2">
      <c r="A453">
        <v>20250529</v>
      </c>
      <c r="B453" t="s">
        <v>10</v>
      </c>
      <c r="C453" t="s">
        <v>8</v>
      </c>
      <c r="D453">
        <v>4</v>
      </c>
      <c r="E453">
        <v>21.5</v>
      </c>
      <c r="F453">
        <v>0</v>
      </c>
      <c r="G453">
        <v>0</v>
      </c>
      <c r="H453" s="1">
        <f t="shared" si="14"/>
        <v>45806</v>
      </c>
      <c r="I453">
        <f t="shared" si="15"/>
        <v>22</v>
      </c>
    </row>
    <row r="454" spans="1:9" x14ac:dyDescent="0.2">
      <c r="A454">
        <v>20250530</v>
      </c>
      <c r="B454" t="s">
        <v>7</v>
      </c>
      <c r="C454" t="s">
        <v>8</v>
      </c>
      <c r="D454">
        <v>5</v>
      </c>
      <c r="E454">
        <v>10</v>
      </c>
      <c r="F454">
        <v>0</v>
      </c>
      <c r="G454">
        <v>0</v>
      </c>
      <c r="H454" s="1">
        <f t="shared" si="14"/>
        <v>45807</v>
      </c>
      <c r="I454">
        <f t="shared" si="15"/>
        <v>22</v>
      </c>
    </row>
    <row r="455" spans="1:9" x14ac:dyDescent="0.2">
      <c r="A455">
        <v>20250530</v>
      </c>
      <c r="B455" t="s">
        <v>9</v>
      </c>
      <c r="C455" t="s">
        <v>8</v>
      </c>
      <c r="D455">
        <v>9</v>
      </c>
      <c r="E455">
        <v>20.1111111111111</v>
      </c>
      <c r="F455">
        <v>0</v>
      </c>
      <c r="G455">
        <v>0</v>
      </c>
      <c r="H455" s="1">
        <f t="shared" si="14"/>
        <v>45807</v>
      </c>
      <c r="I455">
        <f t="shared" si="15"/>
        <v>22</v>
      </c>
    </row>
    <row r="456" spans="1:9" x14ac:dyDescent="0.2">
      <c r="A456">
        <v>20250530</v>
      </c>
      <c r="B456" t="s">
        <v>10</v>
      </c>
      <c r="C456" t="s">
        <v>8</v>
      </c>
      <c r="D456">
        <v>6</v>
      </c>
      <c r="E456">
        <v>25.1666666666666</v>
      </c>
      <c r="F456">
        <v>0</v>
      </c>
      <c r="G456">
        <v>0</v>
      </c>
      <c r="H456" s="1">
        <f t="shared" si="14"/>
        <v>45807</v>
      </c>
      <c r="I456">
        <f t="shared" si="15"/>
        <v>22</v>
      </c>
    </row>
    <row r="457" spans="1:9" x14ac:dyDescent="0.2">
      <c r="A457">
        <v>20250531</v>
      </c>
      <c r="B457" t="s">
        <v>12</v>
      </c>
      <c r="C457" t="s">
        <v>8</v>
      </c>
      <c r="D457">
        <v>3</v>
      </c>
      <c r="E457">
        <v>46.6666666666666</v>
      </c>
      <c r="F457">
        <v>0</v>
      </c>
      <c r="G457">
        <v>0</v>
      </c>
      <c r="H457" s="1">
        <f t="shared" si="14"/>
        <v>45808</v>
      </c>
      <c r="I457">
        <f t="shared" si="15"/>
        <v>22</v>
      </c>
    </row>
    <row r="458" spans="1:9" x14ac:dyDescent="0.2">
      <c r="A458">
        <v>20250531</v>
      </c>
      <c r="B458" t="s">
        <v>7</v>
      </c>
      <c r="C458" t="s">
        <v>8</v>
      </c>
      <c r="D458">
        <v>10</v>
      </c>
      <c r="E458">
        <v>14.9</v>
      </c>
      <c r="F458">
        <v>0</v>
      </c>
      <c r="G458">
        <v>0</v>
      </c>
      <c r="H458" s="1">
        <f t="shared" si="14"/>
        <v>45808</v>
      </c>
      <c r="I458">
        <f t="shared" si="15"/>
        <v>22</v>
      </c>
    </row>
    <row r="459" spans="1:9" x14ac:dyDescent="0.2">
      <c r="A459">
        <v>20250531</v>
      </c>
      <c r="B459" t="s">
        <v>23</v>
      </c>
      <c r="C459" t="s">
        <v>15</v>
      </c>
      <c r="D459">
        <v>3</v>
      </c>
      <c r="E459">
        <v>35.3333333333333</v>
      </c>
      <c r="F459">
        <v>0</v>
      </c>
      <c r="G459">
        <v>0</v>
      </c>
      <c r="H459" s="1">
        <f t="shared" si="14"/>
        <v>45808</v>
      </c>
      <c r="I459">
        <f t="shared" si="15"/>
        <v>22</v>
      </c>
    </row>
    <row r="460" spans="1:9" x14ac:dyDescent="0.2">
      <c r="A460">
        <v>20250531</v>
      </c>
      <c r="B460" t="s">
        <v>23</v>
      </c>
      <c r="C460" t="s">
        <v>8</v>
      </c>
      <c r="D460">
        <v>1</v>
      </c>
      <c r="E460">
        <v>1</v>
      </c>
      <c r="F460">
        <v>0</v>
      </c>
      <c r="G460">
        <v>0</v>
      </c>
      <c r="H460" s="1">
        <f t="shared" si="14"/>
        <v>45808</v>
      </c>
      <c r="I460">
        <f t="shared" si="15"/>
        <v>22</v>
      </c>
    </row>
    <row r="461" spans="1:9" x14ac:dyDescent="0.2">
      <c r="A461">
        <v>20250531</v>
      </c>
      <c r="B461" t="s">
        <v>9</v>
      </c>
      <c r="C461" t="s">
        <v>8</v>
      </c>
      <c r="D461">
        <v>19</v>
      </c>
      <c r="E461">
        <v>9.6842105263157894</v>
      </c>
      <c r="F461">
        <v>0</v>
      </c>
      <c r="G461">
        <v>0</v>
      </c>
      <c r="H461" s="1">
        <f t="shared" si="14"/>
        <v>45808</v>
      </c>
      <c r="I461">
        <f t="shared" si="15"/>
        <v>22</v>
      </c>
    </row>
    <row r="462" spans="1:9" x14ac:dyDescent="0.2">
      <c r="A462">
        <v>20250531</v>
      </c>
      <c r="B462" t="s">
        <v>9</v>
      </c>
      <c r="C462" t="s">
        <v>22</v>
      </c>
      <c r="D462">
        <v>1</v>
      </c>
      <c r="E462">
        <v>38</v>
      </c>
      <c r="F462">
        <v>0</v>
      </c>
      <c r="G462">
        <v>0</v>
      </c>
      <c r="H462" s="1">
        <f t="shared" si="14"/>
        <v>45808</v>
      </c>
      <c r="I462">
        <f t="shared" si="15"/>
        <v>22</v>
      </c>
    </row>
    <row r="463" spans="1:9" x14ac:dyDescent="0.2">
      <c r="A463">
        <v>20250531</v>
      </c>
      <c r="B463" t="s">
        <v>10</v>
      </c>
      <c r="C463" t="s">
        <v>8</v>
      </c>
      <c r="D463">
        <v>3</v>
      </c>
      <c r="E463">
        <v>24.6666666666666</v>
      </c>
      <c r="F463">
        <v>0</v>
      </c>
      <c r="G463">
        <v>0</v>
      </c>
      <c r="H463" s="1">
        <f t="shared" si="14"/>
        <v>45808</v>
      </c>
      <c r="I463">
        <f t="shared" si="15"/>
        <v>22</v>
      </c>
    </row>
    <row r="464" spans="1:9" x14ac:dyDescent="0.2">
      <c r="A464">
        <v>20250531</v>
      </c>
      <c r="B464" t="s">
        <v>10</v>
      </c>
      <c r="C464" t="s">
        <v>11</v>
      </c>
      <c r="D464">
        <v>1</v>
      </c>
      <c r="E464">
        <v>1</v>
      </c>
      <c r="F464">
        <v>1</v>
      </c>
      <c r="G464">
        <v>10</v>
      </c>
      <c r="H464" s="1">
        <f t="shared" si="14"/>
        <v>45808</v>
      </c>
      <c r="I464">
        <f t="shared" si="15"/>
        <v>22</v>
      </c>
    </row>
    <row r="465" spans="1:9" x14ac:dyDescent="0.2">
      <c r="A465">
        <v>20250601</v>
      </c>
      <c r="B465" t="s">
        <v>12</v>
      </c>
      <c r="C465" t="s">
        <v>8</v>
      </c>
      <c r="D465">
        <v>1</v>
      </c>
      <c r="E465">
        <v>65</v>
      </c>
      <c r="F465">
        <v>0</v>
      </c>
      <c r="G465">
        <v>0</v>
      </c>
      <c r="H465" s="1">
        <f t="shared" si="14"/>
        <v>45809</v>
      </c>
      <c r="I465">
        <f t="shared" si="15"/>
        <v>23</v>
      </c>
    </row>
    <row r="466" spans="1:9" x14ac:dyDescent="0.2">
      <c r="A466">
        <v>20250601</v>
      </c>
      <c r="B466" t="s">
        <v>16</v>
      </c>
      <c r="C466" t="s">
        <v>8</v>
      </c>
      <c r="D466">
        <v>1</v>
      </c>
      <c r="E466">
        <v>29</v>
      </c>
      <c r="F466">
        <v>0</v>
      </c>
      <c r="G466">
        <v>0</v>
      </c>
      <c r="H466" s="1">
        <f t="shared" si="14"/>
        <v>45809</v>
      </c>
      <c r="I466">
        <f t="shared" si="15"/>
        <v>23</v>
      </c>
    </row>
    <row r="467" spans="1:9" x14ac:dyDescent="0.2">
      <c r="A467">
        <v>20250601</v>
      </c>
      <c r="B467" t="s">
        <v>7</v>
      </c>
      <c r="C467" t="s">
        <v>8</v>
      </c>
      <c r="D467">
        <v>4</v>
      </c>
      <c r="E467">
        <v>11.25</v>
      </c>
      <c r="F467">
        <v>0</v>
      </c>
      <c r="G467">
        <v>0</v>
      </c>
      <c r="H467" s="1">
        <f t="shared" si="14"/>
        <v>45809</v>
      </c>
      <c r="I467">
        <f t="shared" si="15"/>
        <v>23</v>
      </c>
    </row>
    <row r="468" spans="1:9" x14ac:dyDescent="0.2">
      <c r="A468">
        <v>20250601</v>
      </c>
      <c r="B468" t="s">
        <v>7</v>
      </c>
      <c r="C468" t="s">
        <v>28</v>
      </c>
      <c r="D468">
        <v>1</v>
      </c>
      <c r="E468">
        <v>38</v>
      </c>
      <c r="F468">
        <v>0</v>
      </c>
      <c r="G468">
        <v>0</v>
      </c>
      <c r="H468" s="1">
        <f t="shared" si="14"/>
        <v>45809</v>
      </c>
      <c r="I468">
        <f t="shared" si="15"/>
        <v>23</v>
      </c>
    </row>
    <row r="469" spans="1:9" x14ac:dyDescent="0.2">
      <c r="A469">
        <v>20250601</v>
      </c>
      <c r="B469" t="s">
        <v>14</v>
      </c>
      <c r="C469" t="s">
        <v>8</v>
      </c>
      <c r="D469">
        <v>1</v>
      </c>
      <c r="E469">
        <v>26</v>
      </c>
      <c r="F469">
        <v>0</v>
      </c>
      <c r="G469">
        <v>0</v>
      </c>
      <c r="H469" s="1">
        <f t="shared" si="14"/>
        <v>45809</v>
      </c>
      <c r="I469">
        <f t="shared" si="15"/>
        <v>23</v>
      </c>
    </row>
    <row r="470" spans="1:9" x14ac:dyDescent="0.2">
      <c r="A470">
        <v>20250601</v>
      </c>
      <c r="B470" t="s">
        <v>9</v>
      </c>
      <c r="C470" t="s">
        <v>8</v>
      </c>
      <c r="D470">
        <v>10</v>
      </c>
      <c r="E470">
        <v>6.9</v>
      </c>
      <c r="F470">
        <v>0</v>
      </c>
      <c r="G470">
        <v>0</v>
      </c>
      <c r="H470" s="1">
        <f t="shared" si="14"/>
        <v>45809</v>
      </c>
      <c r="I470">
        <f t="shared" si="15"/>
        <v>23</v>
      </c>
    </row>
    <row r="471" spans="1:9" x14ac:dyDescent="0.2">
      <c r="A471">
        <v>20250601</v>
      </c>
      <c r="B471" t="s">
        <v>10</v>
      </c>
      <c r="C471" t="s">
        <v>8</v>
      </c>
      <c r="D471">
        <v>8</v>
      </c>
      <c r="E471">
        <v>17.5</v>
      </c>
      <c r="F471">
        <v>0</v>
      </c>
      <c r="G471">
        <v>0</v>
      </c>
      <c r="H471" s="1">
        <f t="shared" si="14"/>
        <v>45809</v>
      </c>
      <c r="I471">
        <f t="shared" si="15"/>
        <v>23</v>
      </c>
    </row>
    <row r="472" spans="1:9" x14ac:dyDescent="0.2">
      <c r="A472">
        <v>20250601</v>
      </c>
      <c r="B472" t="s">
        <v>10</v>
      </c>
      <c r="C472" t="s">
        <v>11</v>
      </c>
      <c r="D472">
        <v>7</v>
      </c>
      <c r="E472">
        <v>83.142857142857096</v>
      </c>
      <c r="F472">
        <v>0</v>
      </c>
      <c r="G472">
        <v>0</v>
      </c>
      <c r="H472" s="1">
        <f t="shared" si="14"/>
        <v>45809</v>
      </c>
      <c r="I472">
        <f t="shared" si="15"/>
        <v>23</v>
      </c>
    </row>
    <row r="473" spans="1:9" x14ac:dyDescent="0.2">
      <c r="A473">
        <v>20250602</v>
      </c>
      <c r="B473" t="s">
        <v>19</v>
      </c>
      <c r="C473" t="s">
        <v>8</v>
      </c>
      <c r="D473">
        <v>1</v>
      </c>
      <c r="E473">
        <v>18</v>
      </c>
      <c r="F473">
        <v>0</v>
      </c>
      <c r="G473">
        <v>0</v>
      </c>
      <c r="H473" s="1">
        <f t="shared" si="14"/>
        <v>45810</v>
      </c>
      <c r="I473">
        <f t="shared" si="15"/>
        <v>23</v>
      </c>
    </row>
    <row r="474" spans="1:9" x14ac:dyDescent="0.2">
      <c r="A474">
        <v>20250602</v>
      </c>
      <c r="B474" t="s">
        <v>16</v>
      </c>
      <c r="C474" t="s">
        <v>8</v>
      </c>
      <c r="D474">
        <v>1</v>
      </c>
      <c r="E474">
        <v>1</v>
      </c>
      <c r="F474">
        <v>0</v>
      </c>
      <c r="G474">
        <v>0</v>
      </c>
      <c r="H474" s="1">
        <f t="shared" si="14"/>
        <v>45810</v>
      </c>
      <c r="I474">
        <f t="shared" si="15"/>
        <v>23</v>
      </c>
    </row>
    <row r="475" spans="1:9" x14ac:dyDescent="0.2">
      <c r="A475">
        <v>20250602</v>
      </c>
      <c r="B475" t="s">
        <v>7</v>
      </c>
      <c r="C475" t="s">
        <v>8</v>
      </c>
      <c r="D475">
        <v>8</v>
      </c>
      <c r="E475">
        <v>23.375</v>
      </c>
      <c r="F475">
        <v>0</v>
      </c>
      <c r="G475">
        <v>0</v>
      </c>
      <c r="H475" s="1">
        <f t="shared" si="14"/>
        <v>45810</v>
      </c>
      <c r="I475">
        <f t="shared" si="15"/>
        <v>23</v>
      </c>
    </row>
    <row r="476" spans="1:9" x14ac:dyDescent="0.2">
      <c r="A476">
        <v>20250602</v>
      </c>
      <c r="B476" t="s">
        <v>9</v>
      </c>
      <c r="C476" t="s">
        <v>8</v>
      </c>
      <c r="D476">
        <v>8</v>
      </c>
      <c r="E476">
        <v>24</v>
      </c>
      <c r="F476">
        <v>0</v>
      </c>
      <c r="G476">
        <v>0</v>
      </c>
      <c r="H476" s="1">
        <f t="shared" si="14"/>
        <v>45810</v>
      </c>
      <c r="I476">
        <f t="shared" si="15"/>
        <v>23</v>
      </c>
    </row>
    <row r="477" spans="1:9" x14ac:dyDescent="0.2">
      <c r="A477">
        <v>20250602</v>
      </c>
      <c r="B477" t="s">
        <v>9</v>
      </c>
      <c r="C477" t="s">
        <v>18</v>
      </c>
      <c r="D477">
        <v>1</v>
      </c>
      <c r="E477">
        <v>1</v>
      </c>
      <c r="F477">
        <v>0</v>
      </c>
      <c r="G477">
        <v>2</v>
      </c>
      <c r="H477" s="1">
        <f t="shared" si="14"/>
        <v>45810</v>
      </c>
      <c r="I477">
        <f t="shared" si="15"/>
        <v>23</v>
      </c>
    </row>
    <row r="478" spans="1:9" x14ac:dyDescent="0.2">
      <c r="A478">
        <v>20250602</v>
      </c>
      <c r="B478" t="s">
        <v>10</v>
      </c>
      <c r="C478" t="s">
        <v>11</v>
      </c>
      <c r="D478">
        <v>7</v>
      </c>
      <c r="E478">
        <v>57.857142857142797</v>
      </c>
      <c r="F478">
        <v>0</v>
      </c>
      <c r="G478">
        <v>0</v>
      </c>
      <c r="H478" s="1">
        <f t="shared" si="14"/>
        <v>45810</v>
      </c>
      <c r="I478">
        <f t="shared" si="15"/>
        <v>23</v>
      </c>
    </row>
    <row r="479" spans="1:9" x14ac:dyDescent="0.2">
      <c r="A479">
        <v>20250602</v>
      </c>
      <c r="B479" t="s">
        <v>10</v>
      </c>
      <c r="C479" t="s">
        <v>8</v>
      </c>
      <c r="D479">
        <v>6</v>
      </c>
      <c r="E479">
        <v>27</v>
      </c>
      <c r="F479">
        <v>0</v>
      </c>
      <c r="G479">
        <v>0</v>
      </c>
      <c r="H479" s="1">
        <f t="shared" si="14"/>
        <v>45810</v>
      </c>
      <c r="I479">
        <f t="shared" si="15"/>
        <v>23</v>
      </c>
    </row>
    <row r="480" spans="1:9" x14ac:dyDescent="0.2">
      <c r="A480">
        <v>20250603</v>
      </c>
      <c r="B480" t="s">
        <v>12</v>
      </c>
      <c r="C480" t="s">
        <v>8</v>
      </c>
      <c r="D480">
        <v>9</v>
      </c>
      <c r="E480">
        <v>36.3333333333333</v>
      </c>
      <c r="F480">
        <v>0</v>
      </c>
      <c r="G480">
        <v>0</v>
      </c>
      <c r="H480" s="1">
        <f t="shared" si="14"/>
        <v>45811</v>
      </c>
      <c r="I480">
        <f t="shared" si="15"/>
        <v>23</v>
      </c>
    </row>
    <row r="481" spans="1:9" x14ac:dyDescent="0.2">
      <c r="A481">
        <v>20250603</v>
      </c>
      <c r="B481" t="s">
        <v>16</v>
      </c>
      <c r="C481" t="s">
        <v>8</v>
      </c>
      <c r="D481">
        <v>4</v>
      </c>
      <c r="E481">
        <v>18.75</v>
      </c>
      <c r="F481">
        <v>0</v>
      </c>
      <c r="G481">
        <v>0</v>
      </c>
      <c r="H481" s="1">
        <f t="shared" si="14"/>
        <v>45811</v>
      </c>
      <c r="I481">
        <f t="shared" si="15"/>
        <v>23</v>
      </c>
    </row>
    <row r="482" spans="1:9" x14ac:dyDescent="0.2">
      <c r="A482">
        <v>20250603</v>
      </c>
      <c r="B482" t="s">
        <v>7</v>
      </c>
      <c r="C482" t="s">
        <v>8</v>
      </c>
      <c r="D482">
        <v>4</v>
      </c>
      <c r="E482">
        <v>9</v>
      </c>
      <c r="F482">
        <v>0</v>
      </c>
      <c r="G482">
        <v>0</v>
      </c>
      <c r="H482" s="1">
        <f t="shared" si="14"/>
        <v>45811</v>
      </c>
      <c r="I482">
        <f t="shared" si="15"/>
        <v>23</v>
      </c>
    </row>
    <row r="483" spans="1:9" x14ac:dyDescent="0.2">
      <c r="A483">
        <v>20250603</v>
      </c>
      <c r="B483" t="s">
        <v>9</v>
      </c>
      <c r="C483" t="s">
        <v>8</v>
      </c>
      <c r="D483">
        <v>32</v>
      </c>
      <c r="E483">
        <v>20.25</v>
      </c>
      <c r="F483">
        <v>0</v>
      </c>
      <c r="G483">
        <v>0</v>
      </c>
      <c r="H483" s="1">
        <f t="shared" si="14"/>
        <v>45811</v>
      </c>
      <c r="I483">
        <f t="shared" si="15"/>
        <v>23</v>
      </c>
    </row>
    <row r="484" spans="1:9" x14ac:dyDescent="0.2">
      <c r="A484">
        <v>20250603</v>
      </c>
      <c r="B484" t="s">
        <v>9</v>
      </c>
      <c r="C484" t="s">
        <v>22</v>
      </c>
      <c r="D484">
        <v>1</v>
      </c>
      <c r="E484">
        <v>64</v>
      </c>
      <c r="F484">
        <v>0</v>
      </c>
      <c r="G484">
        <v>0</v>
      </c>
      <c r="H484" s="1">
        <f t="shared" si="14"/>
        <v>45811</v>
      </c>
      <c r="I484">
        <f t="shared" si="15"/>
        <v>23</v>
      </c>
    </row>
    <row r="485" spans="1:9" x14ac:dyDescent="0.2">
      <c r="A485">
        <v>20250603</v>
      </c>
      <c r="B485" t="s">
        <v>10</v>
      </c>
      <c r="C485" t="s">
        <v>11</v>
      </c>
      <c r="D485">
        <v>7</v>
      </c>
      <c r="E485">
        <v>57.142857142857103</v>
      </c>
      <c r="F485">
        <v>0</v>
      </c>
      <c r="G485">
        <v>0</v>
      </c>
      <c r="H485" s="1">
        <f t="shared" si="14"/>
        <v>45811</v>
      </c>
      <c r="I485">
        <f t="shared" si="15"/>
        <v>23</v>
      </c>
    </row>
    <row r="486" spans="1:9" x14ac:dyDescent="0.2">
      <c r="A486">
        <v>20250603</v>
      </c>
      <c r="B486" t="s">
        <v>10</v>
      </c>
      <c r="C486" t="s">
        <v>8</v>
      </c>
      <c r="D486">
        <v>3</v>
      </c>
      <c r="E486">
        <v>28</v>
      </c>
      <c r="F486">
        <v>0</v>
      </c>
      <c r="G486">
        <v>0</v>
      </c>
      <c r="H486" s="1">
        <f t="shared" si="14"/>
        <v>45811</v>
      </c>
      <c r="I486">
        <f t="shared" si="15"/>
        <v>23</v>
      </c>
    </row>
    <row r="487" spans="1:9" x14ac:dyDescent="0.2">
      <c r="A487">
        <v>20250603</v>
      </c>
      <c r="B487" t="s">
        <v>10</v>
      </c>
      <c r="C487" t="s">
        <v>17</v>
      </c>
      <c r="D487">
        <v>1</v>
      </c>
      <c r="E487">
        <v>69</v>
      </c>
      <c r="F487">
        <v>0</v>
      </c>
      <c r="G487">
        <v>0</v>
      </c>
      <c r="H487" s="1">
        <f t="shared" si="14"/>
        <v>45811</v>
      </c>
      <c r="I487">
        <f t="shared" si="15"/>
        <v>23</v>
      </c>
    </row>
    <row r="488" spans="1:9" x14ac:dyDescent="0.2">
      <c r="A488">
        <v>20250604</v>
      </c>
      <c r="B488" t="s">
        <v>12</v>
      </c>
      <c r="C488" t="s">
        <v>8</v>
      </c>
      <c r="D488">
        <v>7</v>
      </c>
      <c r="E488">
        <v>35.714285714285701</v>
      </c>
      <c r="F488">
        <v>0</v>
      </c>
      <c r="G488">
        <v>0</v>
      </c>
      <c r="H488" s="1">
        <f t="shared" si="14"/>
        <v>45812</v>
      </c>
      <c r="I488">
        <f t="shared" si="15"/>
        <v>23</v>
      </c>
    </row>
    <row r="489" spans="1:9" x14ac:dyDescent="0.2">
      <c r="A489">
        <v>20250604</v>
      </c>
      <c r="B489" t="s">
        <v>7</v>
      </c>
      <c r="C489" t="s">
        <v>8</v>
      </c>
      <c r="D489">
        <v>3</v>
      </c>
      <c r="E489">
        <v>9.3333333333333304</v>
      </c>
      <c r="F489">
        <v>0</v>
      </c>
      <c r="G489">
        <v>0</v>
      </c>
      <c r="H489" s="1">
        <f t="shared" si="14"/>
        <v>45812</v>
      </c>
      <c r="I489">
        <f t="shared" si="15"/>
        <v>23</v>
      </c>
    </row>
    <row r="490" spans="1:9" x14ac:dyDescent="0.2">
      <c r="A490">
        <v>20250604</v>
      </c>
      <c r="B490" t="s">
        <v>9</v>
      </c>
      <c r="C490" t="s">
        <v>8</v>
      </c>
      <c r="D490">
        <v>28</v>
      </c>
      <c r="E490">
        <v>21.25</v>
      </c>
      <c r="F490">
        <v>0</v>
      </c>
      <c r="G490">
        <v>0</v>
      </c>
      <c r="H490" s="1">
        <f t="shared" si="14"/>
        <v>45812</v>
      </c>
      <c r="I490">
        <f t="shared" si="15"/>
        <v>23</v>
      </c>
    </row>
    <row r="491" spans="1:9" x14ac:dyDescent="0.2">
      <c r="A491">
        <v>20250604</v>
      </c>
      <c r="B491" t="s">
        <v>10</v>
      </c>
      <c r="C491" t="s">
        <v>11</v>
      </c>
      <c r="D491">
        <v>9</v>
      </c>
      <c r="E491">
        <v>48.7777777777777</v>
      </c>
      <c r="F491">
        <v>0</v>
      </c>
      <c r="G491">
        <v>0</v>
      </c>
      <c r="H491" s="1">
        <f t="shared" si="14"/>
        <v>45812</v>
      </c>
      <c r="I491">
        <f t="shared" si="15"/>
        <v>23</v>
      </c>
    </row>
    <row r="492" spans="1:9" x14ac:dyDescent="0.2">
      <c r="A492">
        <v>20250604</v>
      </c>
      <c r="B492" t="s">
        <v>10</v>
      </c>
      <c r="C492" t="s">
        <v>8</v>
      </c>
      <c r="D492">
        <v>4</v>
      </c>
      <c r="E492">
        <v>32</v>
      </c>
      <c r="F492">
        <v>0</v>
      </c>
      <c r="G492">
        <v>0</v>
      </c>
      <c r="H492" s="1">
        <f t="shared" si="14"/>
        <v>45812</v>
      </c>
      <c r="I492">
        <f t="shared" si="15"/>
        <v>23</v>
      </c>
    </row>
    <row r="493" spans="1:9" x14ac:dyDescent="0.2">
      <c r="A493">
        <v>20250605</v>
      </c>
      <c r="B493" t="s">
        <v>12</v>
      </c>
      <c r="C493" t="s">
        <v>8</v>
      </c>
      <c r="D493">
        <v>5</v>
      </c>
      <c r="E493">
        <v>39.6</v>
      </c>
      <c r="F493">
        <v>0</v>
      </c>
      <c r="G493">
        <v>0</v>
      </c>
      <c r="H493" s="1">
        <f t="shared" si="14"/>
        <v>45813</v>
      </c>
      <c r="I493">
        <f t="shared" si="15"/>
        <v>23</v>
      </c>
    </row>
    <row r="494" spans="1:9" x14ac:dyDescent="0.2">
      <c r="A494">
        <v>20250605</v>
      </c>
      <c r="B494" t="s">
        <v>16</v>
      </c>
      <c r="C494" t="s">
        <v>8</v>
      </c>
      <c r="D494">
        <v>2</v>
      </c>
      <c r="E494">
        <v>52</v>
      </c>
      <c r="F494">
        <v>0</v>
      </c>
      <c r="G494">
        <v>0</v>
      </c>
      <c r="H494" s="1">
        <f t="shared" si="14"/>
        <v>45813</v>
      </c>
      <c r="I494">
        <f t="shared" si="15"/>
        <v>23</v>
      </c>
    </row>
    <row r="495" spans="1:9" x14ac:dyDescent="0.2">
      <c r="A495">
        <v>20250605</v>
      </c>
      <c r="B495" t="s">
        <v>16</v>
      </c>
      <c r="C495" t="s">
        <v>13</v>
      </c>
      <c r="D495">
        <v>2</v>
      </c>
      <c r="E495">
        <v>1</v>
      </c>
      <c r="F495">
        <v>0</v>
      </c>
      <c r="G495">
        <v>0</v>
      </c>
      <c r="H495" s="1">
        <f t="shared" si="14"/>
        <v>45813</v>
      </c>
      <c r="I495">
        <f t="shared" si="15"/>
        <v>23</v>
      </c>
    </row>
    <row r="496" spans="1:9" x14ac:dyDescent="0.2">
      <c r="A496">
        <v>20250605</v>
      </c>
      <c r="B496" t="s">
        <v>7</v>
      </c>
      <c r="C496" t="s">
        <v>13</v>
      </c>
      <c r="D496">
        <v>8</v>
      </c>
      <c r="E496">
        <v>1</v>
      </c>
      <c r="F496">
        <v>0</v>
      </c>
      <c r="G496">
        <v>0</v>
      </c>
      <c r="H496" s="1">
        <f t="shared" si="14"/>
        <v>45813</v>
      </c>
      <c r="I496">
        <f t="shared" si="15"/>
        <v>23</v>
      </c>
    </row>
    <row r="497" spans="1:9" x14ac:dyDescent="0.2">
      <c r="A497">
        <v>20250605</v>
      </c>
      <c r="B497" t="s">
        <v>7</v>
      </c>
      <c r="C497" t="s">
        <v>8</v>
      </c>
      <c r="D497">
        <v>4</v>
      </c>
      <c r="E497">
        <v>22</v>
      </c>
      <c r="F497">
        <v>0</v>
      </c>
      <c r="G497">
        <v>0</v>
      </c>
      <c r="H497" s="1">
        <f t="shared" si="14"/>
        <v>45813</v>
      </c>
      <c r="I497">
        <f t="shared" si="15"/>
        <v>23</v>
      </c>
    </row>
    <row r="498" spans="1:9" x14ac:dyDescent="0.2">
      <c r="A498">
        <v>20250605</v>
      </c>
      <c r="B498" t="s">
        <v>23</v>
      </c>
      <c r="C498" t="s">
        <v>8</v>
      </c>
      <c r="D498">
        <v>1</v>
      </c>
      <c r="E498">
        <v>90</v>
      </c>
      <c r="F498">
        <v>0</v>
      </c>
      <c r="G498">
        <v>0</v>
      </c>
      <c r="H498" s="1">
        <f t="shared" si="14"/>
        <v>45813</v>
      </c>
      <c r="I498">
        <f t="shared" si="15"/>
        <v>23</v>
      </c>
    </row>
    <row r="499" spans="1:9" x14ac:dyDescent="0.2">
      <c r="A499">
        <v>20250605</v>
      </c>
      <c r="B499" t="s">
        <v>9</v>
      </c>
      <c r="C499" t="s">
        <v>8</v>
      </c>
      <c r="D499">
        <v>14</v>
      </c>
      <c r="E499">
        <v>23</v>
      </c>
      <c r="F499">
        <v>0</v>
      </c>
      <c r="G499">
        <v>0</v>
      </c>
      <c r="H499" s="1">
        <f t="shared" si="14"/>
        <v>45813</v>
      </c>
      <c r="I499">
        <f t="shared" si="15"/>
        <v>23</v>
      </c>
    </row>
    <row r="500" spans="1:9" x14ac:dyDescent="0.2">
      <c r="A500">
        <v>20250605</v>
      </c>
      <c r="B500" t="s">
        <v>10</v>
      </c>
      <c r="C500" t="s">
        <v>11</v>
      </c>
      <c r="D500">
        <v>9</v>
      </c>
      <c r="E500">
        <v>47.5555555555555</v>
      </c>
      <c r="F500">
        <v>0</v>
      </c>
      <c r="G500">
        <v>0</v>
      </c>
      <c r="H500" s="1">
        <f t="shared" si="14"/>
        <v>45813</v>
      </c>
      <c r="I500">
        <f t="shared" si="15"/>
        <v>23</v>
      </c>
    </row>
    <row r="501" spans="1:9" x14ac:dyDescent="0.2">
      <c r="A501">
        <v>20250605</v>
      </c>
      <c r="B501" t="s">
        <v>10</v>
      </c>
      <c r="C501" t="s">
        <v>8</v>
      </c>
      <c r="D501">
        <v>1</v>
      </c>
      <c r="E501">
        <v>33</v>
      </c>
      <c r="F501">
        <v>0</v>
      </c>
      <c r="G501">
        <v>0</v>
      </c>
      <c r="H501" s="1">
        <f t="shared" si="14"/>
        <v>45813</v>
      </c>
      <c r="I501">
        <f t="shared" si="15"/>
        <v>23</v>
      </c>
    </row>
    <row r="502" spans="1:9" x14ac:dyDescent="0.2">
      <c r="A502">
        <v>20250606</v>
      </c>
      <c r="B502" t="s">
        <v>19</v>
      </c>
      <c r="C502" t="s">
        <v>8</v>
      </c>
      <c r="D502">
        <v>1</v>
      </c>
      <c r="E502">
        <v>2</v>
      </c>
      <c r="F502">
        <v>0</v>
      </c>
      <c r="G502">
        <v>0</v>
      </c>
      <c r="H502" s="1">
        <f t="shared" si="14"/>
        <v>45814</v>
      </c>
      <c r="I502">
        <f t="shared" si="15"/>
        <v>23</v>
      </c>
    </row>
    <row r="503" spans="1:9" x14ac:dyDescent="0.2">
      <c r="A503">
        <v>20250606</v>
      </c>
      <c r="B503" t="s">
        <v>12</v>
      </c>
      <c r="C503" t="s">
        <v>8</v>
      </c>
      <c r="D503">
        <v>4</v>
      </c>
      <c r="E503">
        <v>38.25</v>
      </c>
      <c r="F503">
        <v>0</v>
      </c>
      <c r="G503">
        <v>0</v>
      </c>
      <c r="H503" s="1">
        <f t="shared" si="14"/>
        <v>45814</v>
      </c>
      <c r="I503">
        <f t="shared" si="15"/>
        <v>23</v>
      </c>
    </row>
    <row r="504" spans="1:9" x14ac:dyDescent="0.2">
      <c r="A504">
        <v>20250606</v>
      </c>
      <c r="B504" t="s">
        <v>7</v>
      </c>
      <c r="C504" t="s">
        <v>8</v>
      </c>
      <c r="D504">
        <v>17</v>
      </c>
      <c r="E504">
        <v>10.058823529411701</v>
      </c>
      <c r="F504">
        <v>0</v>
      </c>
      <c r="G504">
        <v>0</v>
      </c>
      <c r="H504" s="1">
        <f t="shared" si="14"/>
        <v>45814</v>
      </c>
      <c r="I504">
        <f t="shared" si="15"/>
        <v>23</v>
      </c>
    </row>
    <row r="505" spans="1:9" x14ac:dyDescent="0.2">
      <c r="A505">
        <v>20250606</v>
      </c>
      <c r="B505" t="s">
        <v>23</v>
      </c>
      <c r="C505" t="s">
        <v>24</v>
      </c>
      <c r="D505">
        <v>1</v>
      </c>
      <c r="E505">
        <v>52</v>
      </c>
      <c r="F505">
        <v>0</v>
      </c>
      <c r="G505">
        <v>0</v>
      </c>
      <c r="H505" s="1">
        <f t="shared" si="14"/>
        <v>45814</v>
      </c>
      <c r="I505">
        <f t="shared" si="15"/>
        <v>23</v>
      </c>
    </row>
    <row r="506" spans="1:9" x14ac:dyDescent="0.2">
      <c r="A506">
        <v>20250606</v>
      </c>
      <c r="B506" t="s">
        <v>9</v>
      </c>
      <c r="C506" t="s">
        <v>8</v>
      </c>
      <c r="D506">
        <v>22</v>
      </c>
      <c r="E506">
        <v>11.863636363636299</v>
      </c>
      <c r="F506">
        <v>0</v>
      </c>
      <c r="G506">
        <v>1</v>
      </c>
      <c r="H506" s="1">
        <f t="shared" si="14"/>
        <v>45814</v>
      </c>
      <c r="I506">
        <f t="shared" si="15"/>
        <v>23</v>
      </c>
    </row>
    <row r="507" spans="1:9" x14ac:dyDescent="0.2">
      <c r="A507">
        <v>20250606</v>
      </c>
      <c r="B507" t="s">
        <v>10</v>
      </c>
      <c r="C507" t="s">
        <v>11</v>
      </c>
      <c r="D507">
        <v>7</v>
      </c>
      <c r="E507">
        <v>60.714285714285701</v>
      </c>
      <c r="F507">
        <v>0</v>
      </c>
      <c r="G507">
        <v>0</v>
      </c>
      <c r="H507" s="1">
        <f t="shared" si="14"/>
        <v>45814</v>
      </c>
      <c r="I507">
        <f t="shared" si="15"/>
        <v>23</v>
      </c>
    </row>
    <row r="508" spans="1:9" x14ac:dyDescent="0.2">
      <c r="A508">
        <v>20250606</v>
      </c>
      <c r="B508" t="s">
        <v>10</v>
      </c>
      <c r="C508" t="s">
        <v>17</v>
      </c>
      <c r="D508">
        <v>2</v>
      </c>
      <c r="E508">
        <v>20</v>
      </c>
      <c r="F508">
        <v>0</v>
      </c>
      <c r="G508">
        <v>0</v>
      </c>
      <c r="H508" s="1">
        <f t="shared" si="14"/>
        <v>45814</v>
      </c>
      <c r="I508">
        <f t="shared" si="15"/>
        <v>23</v>
      </c>
    </row>
    <row r="509" spans="1:9" x14ac:dyDescent="0.2">
      <c r="A509">
        <v>20250606</v>
      </c>
      <c r="B509" t="s">
        <v>10</v>
      </c>
      <c r="C509" t="s">
        <v>8</v>
      </c>
      <c r="D509">
        <v>1</v>
      </c>
      <c r="E509">
        <v>1</v>
      </c>
      <c r="F509">
        <v>0</v>
      </c>
      <c r="G509">
        <v>0</v>
      </c>
      <c r="H509" s="1">
        <f t="shared" si="14"/>
        <v>45814</v>
      </c>
      <c r="I509">
        <f t="shared" si="15"/>
        <v>23</v>
      </c>
    </row>
    <row r="510" spans="1:9" x14ac:dyDescent="0.2">
      <c r="A510">
        <v>20250607</v>
      </c>
      <c r="B510" t="s">
        <v>19</v>
      </c>
      <c r="C510" t="s">
        <v>8</v>
      </c>
      <c r="D510">
        <v>1</v>
      </c>
      <c r="E510">
        <v>2</v>
      </c>
      <c r="F510">
        <v>0</v>
      </c>
      <c r="G510">
        <v>0</v>
      </c>
      <c r="H510" s="1">
        <f t="shared" si="14"/>
        <v>45815</v>
      </c>
      <c r="I510">
        <f t="shared" si="15"/>
        <v>23</v>
      </c>
    </row>
    <row r="511" spans="1:9" x14ac:dyDescent="0.2">
      <c r="A511">
        <v>20250607</v>
      </c>
      <c r="B511" t="s">
        <v>29</v>
      </c>
      <c r="C511" t="s">
        <v>8</v>
      </c>
      <c r="D511">
        <v>1</v>
      </c>
      <c r="E511">
        <v>30</v>
      </c>
      <c r="F511">
        <v>0</v>
      </c>
      <c r="G511">
        <v>0</v>
      </c>
      <c r="H511" s="1">
        <f t="shared" si="14"/>
        <v>45815</v>
      </c>
      <c r="I511">
        <f t="shared" si="15"/>
        <v>23</v>
      </c>
    </row>
    <row r="512" spans="1:9" x14ac:dyDescent="0.2">
      <c r="A512">
        <v>20250607</v>
      </c>
      <c r="B512" t="s">
        <v>16</v>
      </c>
      <c r="C512" t="s">
        <v>8</v>
      </c>
      <c r="D512">
        <v>4</v>
      </c>
      <c r="E512">
        <v>75</v>
      </c>
      <c r="F512">
        <v>0</v>
      </c>
      <c r="G512">
        <v>0</v>
      </c>
      <c r="H512" s="1">
        <f t="shared" si="14"/>
        <v>45815</v>
      </c>
      <c r="I512">
        <f t="shared" si="15"/>
        <v>23</v>
      </c>
    </row>
    <row r="513" spans="1:9" x14ac:dyDescent="0.2">
      <c r="A513">
        <v>20250607</v>
      </c>
      <c r="B513" t="s">
        <v>7</v>
      </c>
      <c r="C513" t="s">
        <v>8</v>
      </c>
      <c r="D513">
        <v>8</v>
      </c>
      <c r="E513">
        <v>15</v>
      </c>
      <c r="F513">
        <v>0</v>
      </c>
      <c r="G513">
        <v>0</v>
      </c>
      <c r="H513" s="1">
        <f t="shared" si="14"/>
        <v>45815</v>
      </c>
      <c r="I513">
        <f t="shared" si="15"/>
        <v>23</v>
      </c>
    </row>
    <row r="514" spans="1:9" x14ac:dyDescent="0.2">
      <c r="A514">
        <v>20250607</v>
      </c>
      <c r="B514" t="s">
        <v>23</v>
      </c>
      <c r="C514" t="s">
        <v>15</v>
      </c>
      <c r="D514">
        <v>1</v>
      </c>
      <c r="E514">
        <v>22</v>
      </c>
      <c r="F514">
        <v>0</v>
      </c>
      <c r="G514">
        <v>0</v>
      </c>
      <c r="H514" s="1">
        <f t="shared" ref="H514:H577" si="16">DATE(LEFT(A514,4),MID(A514,5,2),RIGHT(A514,2))</f>
        <v>45815</v>
      </c>
      <c r="I514">
        <f t="shared" ref="I514:I577" si="17">WEEKNUM(H514)</f>
        <v>23</v>
      </c>
    </row>
    <row r="515" spans="1:9" x14ac:dyDescent="0.2">
      <c r="A515">
        <v>20250607</v>
      </c>
      <c r="B515" t="s">
        <v>14</v>
      </c>
      <c r="C515" t="s">
        <v>8</v>
      </c>
      <c r="D515">
        <v>1</v>
      </c>
      <c r="E515">
        <v>20</v>
      </c>
      <c r="F515">
        <v>0</v>
      </c>
      <c r="G515">
        <v>0</v>
      </c>
      <c r="H515" s="1">
        <f t="shared" si="16"/>
        <v>45815</v>
      </c>
      <c r="I515">
        <f t="shared" si="17"/>
        <v>23</v>
      </c>
    </row>
    <row r="516" spans="1:9" x14ac:dyDescent="0.2">
      <c r="A516">
        <v>20250607</v>
      </c>
      <c r="B516" t="s">
        <v>9</v>
      </c>
      <c r="C516" t="s">
        <v>8</v>
      </c>
      <c r="D516">
        <v>15</v>
      </c>
      <c r="E516">
        <v>11.6666666666666</v>
      </c>
      <c r="F516">
        <v>0</v>
      </c>
      <c r="G516">
        <v>0</v>
      </c>
      <c r="H516" s="1">
        <f t="shared" si="16"/>
        <v>45815</v>
      </c>
      <c r="I516">
        <f t="shared" si="17"/>
        <v>23</v>
      </c>
    </row>
    <row r="517" spans="1:9" x14ac:dyDescent="0.2">
      <c r="A517">
        <v>20250607</v>
      </c>
      <c r="B517" t="s">
        <v>10</v>
      </c>
      <c r="C517" t="s">
        <v>11</v>
      </c>
      <c r="D517">
        <v>11</v>
      </c>
      <c r="E517">
        <v>57.636363636363598</v>
      </c>
      <c r="F517">
        <v>0</v>
      </c>
      <c r="G517">
        <v>0</v>
      </c>
      <c r="H517" s="1">
        <f t="shared" si="16"/>
        <v>45815</v>
      </c>
      <c r="I517">
        <f t="shared" si="17"/>
        <v>23</v>
      </c>
    </row>
    <row r="518" spans="1:9" x14ac:dyDescent="0.2">
      <c r="A518">
        <v>20250608</v>
      </c>
      <c r="B518" t="s">
        <v>12</v>
      </c>
      <c r="C518" t="s">
        <v>8</v>
      </c>
      <c r="D518">
        <v>6</v>
      </c>
      <c r="E518">
        <v>26.5</v>
      </c>
      <c r="F518">
        <v>0</v>
      </c>
      <c r="G518">
        <v>0</v>
      </c>
      <c r="H518" s="1">
        <f t="shared" si="16"/>
        <v>45816</v>
      </c>
      <c r="I518">
        <f t="shared" si="17"/>
        <v>24</v>
      </c>
    </row>
    <row r="519" spans="1:9" x14ac:dyDescent="0.2">
      <c r="A519">
        <v>20250608</v>
      </c>
      <c r="B519" t="s">
        <v>7</v>
      </c>
      <c r="C519" t="s">
        <v>8</v>
      </c>
      <c r="D519">
        <v>25</v>
      </c>
      <c r="E519">
        <v>9.52</v>
      </c>
      <c r="F519">
        <v>0</v>
      </c>
      <c r="G519">
        <v>0</v>
      </c>
      <c r="H519" s="1">
        <f t="shared" si="16"/>
        <v>45816</v>
      </c>
      <c r="I519">
        <f t="shared" si="17"/>
        <v>24</v>
      </c>
    </row>
    <row r="520" spans="1:9" x14ac:dyDescent="0.2">
      <c r="A520">
        <v>20250608</v>
      </c>
      <c r="B520" t="s">
        <v>9</v>
      </c>
      <c r="C520" t="s">
        <v>8</v>
      </c>
      <c r="D520">
        <v>22</v>
      </c>
      <c r="E520">
        <v>13.409090909090899</v>
      </c>
      <c r="F520">
        <v>0</v>
      </c>
      <c r="G520">
        <v>0</v>
      </c>
      <c r="H520" s="1">
        <f t="shared" si="16"/>
        <v>45816</v>
      </c>
      <c r="I520">
        <f t="shared" si="17"/>
        <v>24</v>
      </c>
    </row>
    <row r="521" spans="1:9" x14ac:dyDescent="0.2">
      <c r="A521">
        <v>20250608</v>
      </c>
      <c r="B521" t="s">
        <v>10</v>
      </c>
      <c r="C521" t="s">
        <v>11</v>
      </c>
      <c r="D521">
        <v>7</v>
      </c>
      <c r="E521">
        <v>45.857142857142797</v>
      </c>
      <c r="F521">
        <v>0</v>
      </c>
      <c r="G521">
        <v>0</v>
      </c>
      <c r="H521" s="1">
        <f t="shared" si="16"/>
        <v>45816</v>
      </c>
      <c r="I521">
        <f t="shared" si="17"/>
        <v>24</v>
      </c>
    </row>
    <row r="522" spans="1:9" x14ac:dyDescent="0.2">
      <c r="A522">
        <v>20250609</v>
      </c>
      <c r="B522" t="s">
        <v>12</v>
      </c>
      <c r="C522" t="s">
        <v>8</v>
      </c>
      <c r="D522">
        <v>4</v>
      </c>
      <c r="E522">
        <v>30.5</v>
      </c>
      <c r="F522">
        <v>0</v>
      </c>
      <c r="G522">
        <v>0</v>
      </c>
      <c r="H522" s="1">
        <f t="shared" si="16"/>
        <v>45817</v>
      </c>
      <c r="I522">
        <f t="shared" si="17"/>
        <v>24</v>
      </c>
    </row>
    <row r="523" spans="1:9" x14ac:dyDescent="0.2">
      <c r="A523">
        <v>20250609</v>
      </c>
      <c r="B523" t="s">
        <v>7</v>
      </c>
      <c r="C523" t="s">
        <v>8</v>
      </c>
      <c r="D523">
        <v>10</v>
      </c>
      <c r="E523">
        <v>10.1</v>
      </c>
      <c r="F523">
        <v>0</v>
      </c>
      <c r="G523">
        <v>0</v>
      </c>
      <c r="H523" s="1">
        <f t="shared" si="16"/>
        <v>45817</v>
      </c>
      <c r="I523">
        <f t="shared" si="17"/>
        <v>24</v>
      </c>
    </row>
    <row r="524" spans="1:9" x14ac:dyDescent="0.2">
      <c r="A524">
        <v>20250609</v>
      </c>
      <c r="B524" t="s">
        <v>7</v>
      </c>
      <c r="C524" t="s">
        <v>13</v>
      </c>
      <c r="D524">
        <v>1</v>
      </c>
      <c r="E524">
        <v>1</v>
      </c>
      <c r="F524">
        <v>0</v>
      </c>
      <c r="G524">
        <v>0</v>
      </c>
      <c r="H524" s="1">
        <f t="shared" si="16"/>
        <v>45817</v>
      </c>
      <c r="I524">
        <f t="shared" si="17"/>
        <v>24</v>
      </c>
    </row>
    <row r="525" spans="1:9" x14ac:dyDescent="0.2">
      <c r="A525">
        <v>20250609</v>
      </c>
      <c r="B525" t="s">
        <v>9</v>
      </c>
      <c r="C525" t="s">
        <v>8</v>
      </c>
      <c r="D525">
        <v>13</v>
      </c>
      <c r="E525">
        <v>10.1538461538461</v>
      </c>
      <c r="F525">
        <v>0</v>
      </c>
      <c r="G525">
        <v>0</v>
      </c>
      <c r="H525" s="1">
        <f t="shared" si="16"/>
        <v>45817</v>
      </c>
      <c r="I525">
        <f t="shared" si="17"/>
        <v>24</v>
      </c>
    </row>
    <row r="526" spans="1:9" x14ac:dyDescent="0.2">
      <c r="A526">
        <v>20250609</v>
      </c>
      <c r="B526" t="s">
        <v>10</v>
      </c>
      <c r="C526" t="s">
        <v>11</v>
      </c>
      <c r="D526">
        <v>6</v>
      </c>
      <c r="E526">
        <v>83.3333333333333</v>
      </c>
      <c r="F526">
        <v>0</v>
      </c>
      <c r="G526">
        <v>0</v>
      </c>
      <c r="H526" s="1">
        <f t="shared" si="16"/>
        <v>45817</v>
      </c>
      <c r="I526">
        <f t="shared" si="17"/>
        <v>24</v>
      </c>
    </row>
    <row r="527" spans="1:9" x14ac:dyDescent="0.2">
      <c r="A527">
        <v>20250609</v>
      </c>
      <c r="B527" t="s">
        <v>10</v>
      </c>
      <c r="C527" t="s">
        <v>17</v>
      </c>
      <c r="D527">
        <v>1</v>
      </c>
      <c r="E527">
        <v>74</v>
      </c>
      <c r="F527">
        <v>0</v>
      </c>
      <c r="G527">
        <v>0</v>
      </c>
      <c r="H527" s="1">
        <f t="shared" si="16"/>
        <v>45817</v>
      </c>
      <c r="I527">
        <f t="shared" si="17"/>
        <v>24</v>
      </c>
    </row>
    <row r="528" spans="1:9" x14ac:dyDescent="0.2">
      <c r="A528">
        <v>20250610</v>
      </c>
      <c r="B528" t="s">
        <v>12</v>
      </c>
      <c r="C528" t="s">
        <v>8</v>
      </c>
      <c r="D528">
        <v>1</v>
      </c>
      <c r="E528">
        <v>30</v>
      </c>
      <c r="F528">
        <v>0</v>
      </c>
      <c r="G528">
        <v>0</v>
      </c>
      <c r="H528" s="1">
        <f t="shared" si="16"/>
        <v>45818</v>
      </c>
      <c r="I528">
        <f t="shared" si="17"/>
        <v>24</v>
      </c>
    </row>
    <row r="529" spans="1:9" x14ac:dyDescent="0.2">
      <c r="A529">
        <v>20250610</v>
      </c>
      <c r="B529" t="s">
        <v>7</v>
      </c>
      <c r="C529" t="s">
        <v>8</v>
      </c>
      <c r="D529">
        <v>25</v>
      </c>
      <c r="E529">
        <v>13.24</v>
      </c>
      <c r="F529">
        <v>0</v>
      </c>
      <c r="G529">
        <v>2</v>
      </c>
      <c r="H529" s="1">
        <f t="shared" si="16"/>
        <v>45818</v>
      </c>
      <c r="I529">
        <f t="shared" si="17"/>
        <v>24</v>
      </c>
    </row>
    <row r="530" spans="1:9" x14ac:dyDescent="0.2">
      <c r="A530">
        <v>20250610</v>
      </c>
      <c r="B530" t="s">
        <v>7</v>
      </c>
      <c r="C530" t="s">
        <v>24</v>
      </c>
      <c r="D530">
        <v>2</v>
      </c>
      <c r="E530">
        <v>17</v>
      </c>
      <c r="F530">
        <v>0</v>
      </c>
      <c r="G530">
        <v>0</v>
      </c>
      <c r="H530" s="1">
        <f t="shared" si="16"/>
        <v>45818</v>
      </c>
      <c r="I530">
        <f t="shared" si="17"/>
        <v>24</v>
      </c>
    </row>
    <row r="531" spans="1:9" x14ac:dyDescent="0.2">
      <c r="A531">
        <v>20250610</v>
      </c>
      <c r="B531" t="s">
        <v>14</v>
      </c>
      <c r="C531" t="s">
        <v>8</v>
      </c>
      <c r="D531">
        <v>2</v>
      </c>
      <c r="E531">
        <v>20</v>
      </c>
      <c r="F531">
        <v>0</v>
      </c>
      <c r="G531">
        <v>0</v>
      </c>
      <c r="H531" s="1">
        <f t="shared" si="16"/>
        <v>45818</v>
      </c>
      <c r="I531">
        <f t="shared" si="17"/>
        <v>24</v>
      </c>
    </row>
    <row r="532" spans="1:9" x14ac:dyDescent="0.2">
      <c r="A532">
        <v>20250610</v>
      </c>
      <c r="B532" t="s">
        <v>9</v>
      </c>
      <c r="C532" t="s">
        <v>8</v>
      </c>
      <c r="D532">
        <v>11</v>
      </c>
      <c r="E532">
        <v>16.181818181818102</v>
      </c>
      <c r="F532">
        <v>0</v>
      </c>
      <c r="G532">
        <v>0</v>
      </c>
      <c r="H532" s="1">
        <f t="shared" si="16"/>
        <v>45818</v>
      </c>
      <c r="I532">
        <f t="shared" si="17"/>
        <v>24</v>
      </c>
    </row>
    <row r="533" spans="1:9" x14ac:dyDescent="0.2">
      <c r="A533">
        <v>20250610</v>
      </c>
      <c r="B533" t="s">
        <v>9</v>
      </c>
      <c r="C533" t="s">
        <v>15</v>
      </c>
      <c r="D533">
        <v>3</v>
      </c>
      <c r="E533">
        <v>1</v>
      </c>
      <c r="F533">
        <v>0</v>
      </c>
      <c r="G533">
        <v>0</v>
      </c>
      <c r="H533" s="1">
        <f t="shared" si="16"/>
        <v>45818</v>
      </c>
      <c r="I533">
        <f t="shared" si="17"/>
        <v>24</v>
      </c>
    </row>
    <row r="534" spans="1:9" x14ac:dyDescent="0.2">
      <c r="A534">
        <v>20250610</v>
      </c>
      <c r="B534" t="s">
        <v>10</v>
      </c>
      <c r="C534" t="s">
        <v>11</v>
      </c>
      <c r="D534">
        <v>3</v>
      </c>
      <c r="E534">
        <v>76.6666666666666</v>
      </c>
      <c r="F534">
        <v>0</v>
      </c>
      <c r="G534">
        <v>0</v>
      </c>
      <c r="H534" s="1">
        <f t="shared" si="16"/>
        <v>45818</v>
      </c>
      <c r="I534">
        <f t="shared" si="17"/>
        <v>24</v>
      </c>
    </row>
    <row r="535" spans="1:9" x14ac:dyDescent="0.2">
      <c r="A535">
        <v>20250610</v>
      </c>
      <c r="B535" t="s">
        <v>10</v>
      </c>
      <c r="C535" t="s">
        <v>20</v>
      </c>
      <c r="D535">
        <v>1</v>
      </c>
      <c r="E535">
        <v>28</v>
      </c>
      <c r="F535">
        <v>0</v>
      </c>
      <c r="G535">
        <v>0</v>
      </c>
      <c r="H535" s="1">
        <f t="shared" si="16"/>
        <v>45818</v>
      </c>
      <c r="I535">
        <f t="shared" si="17"/>
        <v>24</v>
      </c>
    </row>
    <row r="536" spans="1:9" x14ac:dyDescent="0.2">
      <c r="A536">
        <v>20250611</v>
      </c>
      <c r="B536" t="s">
        <v>19</v>
      </c>
      <c r="C536" t="s">
        <v>8</v>
      </c>
      <c r="D536">
        <v>1</v>
      </c>
      <c r="E536">
        <v>45</v>
      </c>
      <c r="F536">
        <v>0</v>
      </c>
      <c r="G536">
        <v>0</v>
      </c>
      <c r="H536" s="1">
        <f t="shared" si="16"/>
        <v>45819</v>
      </c>
      <c r="I536">
        <f t="shared" si="17"/>
        <v>24</v>
      </c>
    </row>
    <row r="537" spans="1:9" x14ac:dyDescent="0.2">
      <c r="A537">
        <v>20250611</v>
      </c>
      <c r="B537" t="s">
        <v>12</v>
      </c>
      <c r="C537" t="s">
        <v>8</v>
      </c>
      <c r="D537">
        <v>2</v>
      </c>
      <c r="E537">
        <v>51</v>
      </c>
      <c r="F537">
        <v>0</v>
      </c>
      <c r="G537">
        <v>0</v>
      </c>
      <c r="H537" s="1">
        <f t="shared" si="16"/>
        <v>45819</v>
      </c>
      <c r="I537">
        <f t="shared" si="17"/>
        <v>24</v>
      </c>
    </row>
    <row r="538" spans="1:9" x14ac:dyDescent="0.2">
      <c r="A538">
        <v>20250611</v>
      </c>
      <c r="B538" t="s">
        <v>7</v>
      </c>
      <c r="C538" t="s">
        <v>8</v>
      </c>
      <c r="D538">
        <v>4</v>
      </c>
      <c r="E538">
        <v>9</v>
      </c>
      <c r="F538">
        <v>0</v>
      </c>
      <c r="G538">
        <v>0</v>
      </c>
      <c r="H538" s="1">
        <f t="shared" si="16"/>
        <v>45819</v>
      </c>
      <c r="I538">
        <f t="shared" si="17"/>
        <v>24</v>
      </c>
    </row>
    <row r="539" spans="1:9" x14ac:dyDescent="0.2">
      <c r="A539">
        <v>20250611</v>
      </c>
      <c r="B539" t="s">
        <v>9</v>
      </c>
      <c r="C539" t="s">
        <v>8</v>
      </c>
      <c r="D539">
        <v>11</v>
      </c>
      <c r="E539">
        <v>19.4545454545454</v>
      </c>
      <c r="F539">
        <v>0</v>
      </c>
      <c r="G539">
        <v>0</v>
      </c>
      <c r="H539" s="1">
        <f t="shared" si="16"/>
        <v>45819</v>
      </c>
      <c r="I539">
        <f t="shared" si="17"/>
        <v>24</v>
      </c>
    </row>
    <row r="540" spans="1:9" x14ac:dyDescent="0.2">
      <c r="A540">
        <v>20250611</v>
      </c>
      <c r="B540" t="s">
        <v>10</v>
      </c>
      <c r="C540" t="s">
        <v>11</v>
      </c>
      <c r="D540">
        <v>3</v>
      </c>
      <c r="E540">
        <v>74</v>
      </c>
      <c r="F540">
        <v>0</v>
      </c>
      <c r="G540">
        <v>0</v>
      </c>
      <c r="H540" s="1">
        <f t="shared" si="16"/>
        <v>45819</v>
      </c>
      <c r="I540">
        <f t="shared" si="17"/>
        <v>24</v>
      </c>
    </row>
    <row r="541" spans="1:9" x14ac:dyDescent="0.2">
      <c r="A541">
        <v>20250611</v>
      </c>
      <c r="B541" t="s">
        <v>10</v>
      </c>
      <c r="C541" t="s">
        <v>8</v>
      </c>
      <c r="D541">
        <v>2</v>
      </c>
      <c r="E541">
        <v>17.5</v>
      </c>
      <c r="F541">
        <v>0</v>
      </c>
      <c r="G541">
        <v>0</v>
      </c>
      <c r="H541" s="1">
        <f t="shared" si="16"/>
        <v>45819</v>
      </c>
      <c r="I541">
        <f t="shared" si="17"/>
        <v>24</v>
      </c>
    </row>
    <row r="542" spans="1:9" x14ac:dyDescent="0.2">
      <c r="A542">
        <v>20250612</v>
      </c>
      <c r="B542" t="s">
        <v>12</v>
      </c>
      <c r="C542" t="s">
        <v>8</v>
      </c>
      <c r="D542">
        <v>3</v>
      </c>
      <c r="E542">
        <v>9.6666666666666607</v>
      </c>
      <c r="F542">
        <v>0</v>
      </c>
      <c r="G542">
        <v>0</v>
      </c>
      <c r="H542" s="1">
        <f t="shared" si="16"/>
        <v>45820</v>
      </c>
      <c r="I542">
        <f t="shared" si="17"/>
        <v>24</v>
      </c>
    </row>
    <row r="543" spans="1:9" x14ac:dyDescent="0.2">
      <c r="A543">
        <v>20250612</v>
      </c>
      <c r="B543" t="s">
        <v>16</v>
      </c>
      <c r="C543" t="s">
        <v>13</v>
      </c>
      <c r="D543">
        <v>1</v>
      </c>
      <c r="E543">
        <v>1</v>
      </c>
      <c r="F543">
        <v>0</v>
      </c>
      <c r="G543">
        <v>0</v>
      </c>
      <c r="H543" s="1">
        <f t="shared" si="16"/>
        <v>45820</v>
      </c>
      <c r="I543">
        <f t="shared" si="17"/>
        <v>24</v>
      </c>
    </row>
    <row r="544" spans="1:9" x14ac:dyDescent="0.2">
      <c r="A544">
        <v>20250612</v>
      </c>
      <c r="B544" t="s">
        <v>16</v>
      </c>
      <c r="C544" t="s">
        <v>8</v>
      </c>
      <c r="D544">
        <v>1</v>
      </c>
      <c r="E544">
        <v>36</v>
      </c>
      <c r="F544">
        <v>0</v>
      </c>
      <c r="G544">
        <v>0</v>
      </c>
      <c r="H544" s="1">
        <f t="shared" si="16"/>
        <v>45820</v>
      </c>
      <c r="I544">
        <f t="shared" si="17"/>
        <v>24</v>
      </c>
    </row>
    <row r="545" spans="1:9" x14ac:dyDescent="0.2">
      <c r="A545">
        <v>20250612</v>
      </c>
      <c r="B545" t="s">
        <v>7</v>
      </c>
      <c r="C545" t="s">
        <v>8</v>
      </c>
      <c r="D545">
        <v>12</v>
      </c>
      <c r="E545">
        <v>7.5833333333333304</v>
      </c>
      <c r="F545">
        <v>0</v>
      </c>
      <c r="G545">
        <v>2</v>
      </c>
      <c r="H545" s="1">
        <f t="shared" si="16"/>
        <v>45820</v>
      </c>
      <c r="I545">
        <f t="shared" si="17"/>
        <v>24</v>
      </c>
    </row>
    <row r="546" spans="1:9" x14ac:dyDescent="0.2">
      <c r="A546">
        <v>20250612</v>
      </c>
      <c r="B546" t="s">
        <v>23</v>
      </c>
      <c r="C546" t="s">
        <v>8</v>
      </c>
      <c r="D546">
        <v>1</v>
      </c>
      <c r="E546">
        <v>28</v>
      </c>
      <c r="F546">
        <v>0</v>
      </c>
      <c r="G546">
        <v>0</v>
      </c>
      <c r="H546" s="1">
        <f t="shared" si="16"/>
        <v>45820</v>
      </c>
      <c r="I546">
        <f t="shared" si="17"/>
        <v>24</v>
      </c>
    </row>
    <row r="547" spans="1:9" x14ac:dyDescent="0.2">
      <c r="A547">
        <v>20250612</v>
      </c>
      <c r="B547" t="s">
        <v>9</v>
      </c>
      <c r="C547" t="s">
        <v>8</v>
      </c>
      <c r="D547">
        <v>17</v>
      </c>
      <c r="E547">
        <v>11.176470588235199</v>
      </c>
      <c r="F547">
        <v>0</v>
      </c>
      <c r="G547">
        <v>0</v>
      </c>
      <c r="H547" s="1">
        <f t="shared" si="16"/>
        <v>45820</v>
      </c>
      <c r="I547">
        <f t="shared" si="17"/>
        <v>24</v>
      </c>
    </row>
    <row r="548" spans="1:9" x14ac:dyDescent="0.2">
      <c r="A548">
        <v>20250612</v>
      </c>
      <c r="B548" t="s">
        <v>9</v>
      </c>
      <c r="C548" t="s">
        <v>13</v>
      </c>
      <c r="D548">
        <v>4</v>
      </c>
      <c r="E548">
        <v>1</v>
      </c>
      <c r="F548">
        <v>0</v>
      </c>
      <c r="G548">
        <v>0</v>
      </c>
      <c r="H548" s="1">
        <f t="shared" si="16"/>
        <v>45820</v>
      </c>
      <c r="I548">
        <f t="shared" si="17"/>
        <v>24</v>
      </c>
    </row>
    <row r="549" spans="1:9" x14ac:dyDescent="0.2">
      <c r="A549">
        <v>20250612</v>
      </c>
      <c r="B549" t="s">
        <v>9</v>
      </c>
      <c r="C549" t="s">
        <v>15</v>
      </c>
      <c r="D549">
        <v>1</v>
      </c>
      <c r="E549">
        <v>32</v>
      </c>
      <c r="F549">
        <v>0</v>
      </c>
      <c r="G549">
        <v>0</v>
      </c>
      <c r="H549" s="1">
        <f t="shared" si="16"/>
        <v>45820</v>
      </c>
      <c r="I549">
        <f t="shared" si="17"/>
        <v>24</v>
      </c>
    </row>
    <row r="550" spans="1:9" x14ac:dyDescent="0.2">
      <c r="A550">
        <v>20250612</v>
      </c>
      <c r="B550" t="s">
        <v>10</v>
      </c>
      <c r="C550" t="s">
        <v>11</v>
      </c>
      <c r="D550">
        <v>2</v>
      </c>
      <c r="E550">
        <v>85</v>
      </c>
      <c r="F550">
        <v>0</v>
      </c>
      <c r="G550">
        <v>1</v>
      </c>
      <c r="H550" s="1">
        <f t="shared" si="16"/>
        <v>45820</v>
      </c>
      <c r="I550">
        <f t="shared" si="17"/>
        <v>24</v>
      </c>
    </row>
    <row r="551" spans="1:9" x14ac:dyDescent="0.2">
      <c r="A551">
        <v>20250612</v>
      </c>
      <c r="B551" t="s">
        <v>10</v>
      </c>
      <c r="C551" t="s">
        <v>24</v>
      </c>
      <c r="D551">
        <v>1</v>
      </c>
      <c r="E551">
        <v>7</v>
      </c>
      <c r="F551">
        <v>0</v>
      </c>
      <c r="G551">
        <v>2</v>
      </c>
      <c r="H551" s="1">
        <f t="shared" si="16"/>
        <v>45820</v>
      </c>
      <c r="I551">
        <f t="shared" si="17"/>
        <v>24</v>
      </c>
    </row>
    <row r="552" spans="1:9" x14ac:dyDescent="0.2">
      <c r="A552">
        <v>20250613</v>
      </c>
      <c r="B552" t="s">
        <v>12</v>
      </c>
      <c r="C552" t="s">
        <v>8</v>
      </c>
      <c r="D552">
        <v>5</v>
      </c>
      <c r="E552">
        <v>13</v>
      </c>
      <c r="F552">
        <v>0</v>
      </c>
      <c r="G552">
        <v>0</v>
      </c>
      <c r="H552" s="1">
        <f t="shared" si="16"/>
        <v>45821</v>
      </c>
      <c r="I552">
        <f t="shared" si="17"/>
        <v>24</v>
      </c>
    </row>
    <row r="553" spans="1:9" x14ac:dyDescent="0.2">
      <c r="A553">
        <v>20250613</v>
      </c>
      <c r="B553" t="s">
        <v>7</v>
      </c>
      <c r="C553" t="s">
        <v>8</v>
      </c>
      <c r="D553">
        <v>6</v>
      </c>
      <c r="E553">
        <v>12.3333333333333</v>
      </c>
      <c r="F553">
        <v>0</v>
      </c>
      <c r="G553">
        <v>0</v>
      </c>
      <c r="H553" s="1">
        <f t="shared" si="16"/>
        <v>45821</v>
      </c>
      <c r="I553">
        <f t="shared" si="17"/>
        <v>24</v>
      </c>
    </row>
    <row r="554" spans="1:9" x14ac:dyDescent="0.2">
      <c r="A554">
        <v>20250613</v>
      </c>
      <c r="B554" t="s">
        <v>23</v>
      </c>
      <c r="C554" t="s">
        <v>8</v>
      </c>
      <c r="D554">
        <v>3</v>
      </c>
      <c r="E554">
        <v>22</v>
      </c>
      <c r="F554">
        <v>0</v>
      </c>
      <c r="G554">
        <v>0</v>
      </c>
      <c r="H554" s="1">
        <f t="shared" si="16"/>
        <v>45821</v>
      </c>
      <c r="I554">
        <f t="shared" si="17"/>
        <v>24</v>
      </c>
    </row>
    <row r="555" spans="1:9" x14ac:dyDescent="0.2">
      <c r="A555">
        <v>20250613</v>
      </c>
      <c r="B555" t="s">
        <v>14</v>
      </c>
      <c r="C555" t="s">
        <v>8</v>
      </c>
      <c r="D555">
        <v>1</v>
      </c>
      <c r="E555">
        <v>18</v>
      </c>
      <c r="F555">
        <v>0</v>
      </c>
      <c r="G555">
        <v>0</v>
      </c>
      <c r="H555" s="1">
        <f t="shared" si="16"/>
        <v>45821</v>
      </c>
      <c r="I555">
        <f t="shared" si="17"/>
        <v>24</v>
      </c>
    </row>
    <row r="556" spans="1:9" x14ac:dyDescent="0.2">
      <c r="A556">
        <v>20250613</v>
      </c>
      <c r="B556" t="s">
        <v>9</v>
      </c>
      <c r="C556" t="s">
        <v>8</v>
      </c>
      <c r="D556">
        <v>11</v>
      </c>
      <c r="E556">
        <v>31.636363636363601</v>
      </c>
      <c r="F556">
        <v>0</v>
      </c>
      <c r="G556">
        <v>0</v>
      </c>
      <c r="H556" s="1">
        <f t="shared" si="16"/>
        <v>45821</v>
      </c>
      <c r="I556">
        <f t="shared" si="17"/>
        <v>24</v>
      </c>
    </row>
    <row r="557" spans="1:9" x14ac:dyDescent="0.2">
      <c r="A557">
        <v>20250613</v>
      </c>
      <c r="B557" t="s">
        <v>9</v>
      </c>
      <c r="C557" t="s">
        <v>15</v>
      </c>
      <c r="D557">
        <v>3</v>
      </c>
      <c r="E557">
        <v>41</v>
      </c>
      <c r="F557">
        <v>0</v>
      </c>
      <c r="G557">
        <v>0</v>
      </c>
      <c r="H557" s="1">
        <f t="shared" si="16"/>
        <v>45821</v>
      </c>
      <c r="I557">
        <f t="shared" si="17"/>
        <v>24</v>
      </c>
    </row>
    <row r="558" spans="1:9" x14ac:dyDescent="0.2">
      <c r="A558">
        <v>20250613</v>
      </c>
      <c r="B558" t="s">
        <v>10</v>
      </c>
      <c r="C558" t="s">
        <v>11</v>
      </c>
      <c r="D558">
        <v>4</v>
      </c>
      <c r="E558">
        <v>79.5</v>
      </c>
      <c r="F558">
        <v>0</v>
      </c>
      <c r="G558">
        <v>0</v>
      </c>
      <c r="H558" s="1">
        <f t="shared" si="16"/>
        <v>45821</v>
      </c>
      <c r="I558">
        <f t="shared" si="17"/>
        <v>24</v>
      </c>
    </row>
    <row r="559" spans="1:9" x14ac:dyDescent="0.2">
      <c r="A559">
        <v>20250613</v>
      </c>
      <c r="B559" t="s">
        <v>10</v>
      </c>
      <c r="C559" t="s">
        <v>8</v>
      </c>
      <c r="D559">
        <v>1</v>
      </c>
      <c r="E559">
        <v>34</v>
      </c>
      <c r="F559">
        <v>0</v>
      </c>
      <c r="G559">
        <v>0</v>
      </c>
      <c r="H559" s="1">
        <f t="shared" si="16"/>
        <v>45821</v>
      </c>
      <c r="I559">
        <f t="shared" si="17"/>
        <v>24</v>
      </c>
    </row>
    <row r="560" spans="1:9" x14ac:dyDescent="0.2">
      <c r="A560">
        <v>20250614</v>
      </c>
      <c r="B560" t="s">
        <v>12</v>
      </c>
      <c r="C560" t="s">
        <v>8</v>
      </c>
      <c r="D560">
        <v>5</v>
      </c>
      <c r="E560">
        <v>26.4</v>
      </c>
      <c r="F560">
        <v>0</v>
      </c>
      <c r="G560">
        <v>0</v>
      </c>
      <c r="H560" s="1">
        <f t="shared" si="16"/>
        <v>45822</v>
      </c>
      <c r="I560">
        <f t="shared" si="17"/>
        <v>24</v>
      </c>
    </row>
    <row r="561" spans="1:9" x14ac:dyDescent="0.2">
      <c r="A561">
        <v>20250614</v>
      </c>
      <c r="B561" t="s">
        <v>16</v>
      </c>
      <c r="C561" t="s">
        <v>8</v>
      </c>
      <c r="D561">
        <v>3</v>
      </c>
      <c r="E561">
        <v>18</v>
      </c>
      <c r="F561">
        <v>0</v>
      </c>
      <c r="G561">
        <v>0</v>
      </c>
      <c r="H561" s="1">
        <f t="shared" si="16"/>
        <v>45822</v>
      </c>
      <c r="I561">
        <f t="shared" si="17"/>
        <v>24</v>
      </c>
    </row>
    <row r="562" spans="1:9" x14ac:dyDescent="0.2">
      <c r="A562">
        <v>20250614</v>
      </c>
      <c r="B562" t="s">
        <v>7</v>
      </c>
      <c r="C562" t="s">
        <v>8</v>
      </c>
      <c r="D562">
        <v>11</v>
      </c>
      <c r="E562">
        <v>8.7272727272727195</v>
      </c>
      <c r="F562">
        <v>0</v>
      </c>
      <c r="G562">
        <v>0</v>
      </c>
      <c r="H562" s="1">
        <f t="shared" si="16"/>
        <v>45822</v>
      </c>
      <c r="I562">
        <f t="shared" si="17"/>
        <v>24</v>
      </c>
    </row>
    <row r="563" spans="1:9" x14ac:dyDescent="0.2">
      <c r="A563">
        <v>20250614</v>
      </c>
      <c r="B563" t="s">
        <v>23</v>
      </c>
      <c r="C563" t="s">
        <v>13</v>
      </c>
      <c r="D563">
        <v>1</v>
      </c>
      <c r="E563">
        <v>1</v>
      </c>
      <c r="F563">
        <v>0</v>
      </c>
      <c r="G563">
        <v>0</v>
      </c>
      <c r="H563" s="1">
        <f t="shared" si="16"/>
        <v>45822</v>
      </c>
      <c r="I563">
        <f t="shared" si="17"/>
        <v>24</v>
      </c>
    </row>
    <row r="564" spans="1:9" x14ac:dyDescent="0.2">
      <c r="A564">
        <v>20250614</v>
      </c>
      <c r="B564" t="s">
        <v>9</v>
      </c>
      <c r="C564" t="s">
        <v>8</v>
      </c>
      <c r="D564">
        <v>13</v>
      </c>
      <c r="E564">
        <v>13.076923076923</v>
      </c>
      <c r="F564">
        <v>0</v>
      </c>
      <c r="G564">
        <v>0</v>
      </c>
      <c r="H564" s="1">
        <f t="shared" si="16"/>
        <v>45822</v>
      </c>
      <c r="I564">
        <f t="shared" si="17"/>
        <v>24</v>
      </c>
    </row>
    <row r="565" spans="1:9" x14ac:dyDescent="0.2">
      <c r="A565">
        <v>20250614</v>
      </c>
      <c r="B565" t="s">
        <v>10</v>
      </c>
      <c r="C565" t="s">
        <v>11</v>
      </c>
      <c r="D565">
        <v>3</v>
      </c>
      <c r="E565">
        <v>75</v>
      </c>
      <c r="F565">
        <v>0</v>
      </c>
      <c r="G565">
        <v>0</v>
      </c>
      <c r="H565" s="1">
        <f t="shared" si="16"/>
        <v>45822</v>
      </c>
      <c r="I565">
        <f t="shared" si="17"/>
        <v>24</v>
      </c>
    </row>
    <row r="566" spans="1:9" x14ac:dyDescent="0.2">
      <c r="A566">
        <v>20250614</v>
      </c>
      <c r="B566" t="s">
        <v>10</v>
      </c>
      <c r="C566" t="s">
        <v>8</v>
      </c>
      <c r="D566">
        <v>3</v>
      </c>
      <c r="E566">
        <v>33.3333333333333</v>
      </c>
      <c r="F566">
        <v>0</v>
      </c>
      <c r="G566">
        <v>0</v>
      </c>
      <c r="H566" s="1">
        <f t="shared" si="16"/>
        <v>45822</v>
      </c>
      <c r="I566">
        <f t="shared" si="17"/>
        <v>24</v>
      </c>
    </row>
    <row r="567" spans="1:9" x14ac:dyDescent="0.2">
      <c r="A567">
        <v>20250615</v>
      </c>
      <c r="B567" t="s">
        <v>12</v>
      </c>
      <c r="C567" t="s">
        <v>8</v>
      </c>
      <c r="D567">
        <v>10</v>
      </c>
      <c r="E567">
        <v>21.5</v>
      </c>
      <c r="F567">
        <v>0</v>
      </c>
      <c r="G567">
        <v>0</v>
      </c>
      <c r="H567" s="1">
        <f t="shared" si="16"/>
        <v>45823</v>
      </c>
      <c r="I567">
        <f t="shared" si="17"/>
        <v>25</v>
      </c>
    </row>
    <row r="568" spans="1:9" x14ac:dyDescent="0.2">
      <c r="A568">
        <v>20250615</v>
      </c>
      <c r="B568" t="s">
        <v>7</v>
      </c>
      <c r="C568" t="s">
        <v>8</v>
      </c>
      <c r="D568">
        <v>6</v>
      </c>
      <c r="E568">
        <v>6.5</v>
      </c>
      <c r="F568">
        <v>0</v>
      </c>
      <c r="G568">
        <v>0</v>
      </c>
      <c r="H568" s="1">
        <f t="shared" si="16"/>
        <v>45823</v>
      </c>
      <c r="I568">
        <f t="shared" si="17"/>
        <v>25</v>
      </c>
    </row>
    <row r="569" spans="1:9" x14ac:dyDescent="0.2">
      <c r="A569">
        <v>20250615</v>
      </c>
      <c r="B569" t="s">
        <v>14</v>
      </c>
      <c r="C569" t="s">
        <v>8</v>
      </c>
      <c r="D569">
        <v>4</v>
      </c>
      <c r="E569">
        <v>20</v>
      </c>
      <c r="F569">
        <v>0</v>
      </c>
      <c r="G569">
        <v>0</v>
      </c>
      <c r="H569" s="1">
        <f t="shared" si="16"/>
        <v>45823</v>
      </c>
      <c r="I569">
        <f t="shared" si="17"/>
        <v>25</v>
      </c>
    </row>
    <row r="570" spans="1:9" x14ac:dyDescent="0.2">
      <c r="A570">
        <v>20250615</v>
      </c>
      <c r="B570" t="s">
        <v>9</v>
      </c>
      <c r="C570" t="s">
        <v>8</v>
      </c>
      <c r="D570">
        <v>19</v>
      </c>
      <c r="E570">
        <v>12.5263157894736</v>
      </c>
      <c r="F570">
        <v>0</v>
      </c>
      <c r="G570">
        <v>0</v>
      </c>
      <c r="H570" s="1">
        <f t="shared" si="16"/>
        <v>45823</v>
      </c>
      <c r="I570">
        <f t="shared" si="17"/>
        <v>25</v>
      </c>
    </row>
    <row r="571" spans="1:9" x14ac:dyDescent="0.2">
      <c r="A571">
        <v>20250615</v>
      </c>
      <c r="B571" t="s">
        <v>10</v>
      </c>
      <c r="C571" t="s">
        <v>11</v>
      </c>
      <c r="D571">
        <v>3</v>
      </c>
      <c r="E571">
        <v>82</v>
      </c>
      <c r="F571">
        <v>0</v>
      </c>
      <c r="G571">
        <v>0</v>
      </c>
      <c r="H571" s="1">
        <f t="shared" si="16"/>
        <v>45823</v>
      </c>
      <c r="I571">
        <f t="shared" si="17"/>
        <v>25</v>
      </c>
    </row>
    <row r="572" spans="1:9" x14ac:dyDescent="0.2">
      <c r="A572">
        <v>20250615</v>
      </c>
      <c r="B572" t="s">
        <v>10</v>
      </c>
      <c r="C572" t="s">
        <v>8</v>
      </c>
      <c r="D572">
        <v>2</v>
      </c>
      <c r="E572">
        <v>23</v>
      </c>
      <c r="F572">
        <v>0</v>
      </c>
      <c r="G572">
        <v>0</v>
      </c>
      <c r="H572" s="1">
        <f t="shared" si="16"/>
        <v>45823</v>
      </c>
      <c r="I572">
        <f t="shared" si="17"/>
        <v>25</v>
      </c>
    </row>
    <row r="573" spans="1:9" x14ac:dyDescent="0.2">
      <c r="A573">
        <v>20250616</v>
      </c>
      <c r="B573" t="s">
        <v>12</v>
      </c>
      <c r="C573" t="s">
        <v>8</v>
      </c>
      <c r="D573">
        <v>3</v>
      </c>
      <c r="E573">
        <v>11</v>
      </c>
      <c r="F573">
        <v>0</v>
      </c>
      <c r="G573">
        <v>0</v>
      </c>
      <c r="H573" s="1">
        <f t="shared" si="16"/>
        <v>45824</v>
      </c>
      <c r="I573">
        <f t="shared" si="17"/>
        <v>25</v>
      </c>
    </row>
    <row r="574" spans="1:9" x14ac:dyDescent="0.2">
      <c r="A574">
        <v>20250616</v>
      </c>
      <c r="B574" t="s">
        <v>7</v>
      </c>
      <c r="C574" t="s">
        <v>8</v>
      </c>
      <c r="D574">
        <v>13</v>
      </c>
      <c r="E574">
        <v>9</v>
      </c>
      <c r="F574">
        <v>0</v>
      </c>
      <c r="G574">
        <v>0</v>
      </c>
      <c r="H574" s="1">
        <f t="shared" si="16"/>
        <v>45824</v>
      </c>
      <c r="I574">
        <f t="shared" si="17"/>
        <v>25</v>
      </c>
    </row>
    <row r="575" spans="1:9" x14ac:dyDescent="0.2">
      <c r="A575">
        <v>20250616</v>
      </c>
      <c r="B575" t="s">
        <v>14</v>
      </c>
      <c r="C575" t="s">
        <v>8</v>
      </c>
      <c r="D575">
        <v>1</v>
      </c>
      <c r="E575">
        <v>23</v>
      </c>
      <c r="F575">
        <v>0</v>
      </c>
      <c r="G575">
        <v>0</v>
      </c>
      <c r="H575" s="1">
        <f t="shared" si="16"/>
        <v>45824</v>
      </c>
      <c r="I575">
        <f t="shared" si="17"/>
        <v>25</v>
      </c>
    </row>
    <row r="576" spans="1:9" x14ac:dyDescent="0.2">
      <c r="A576">
        <v>20250616</v>
      </c>
      <c r="B576" t="s">
        <v>9</v>
      </c>
      <c r="C576" t="s">
        <v>8</v>
      </c>
      <c r="D576">
        <v>21</v>
      </c>
      <c r="E576">
        <v>13.523809523809501</v>
      </c>
      <c r="F576">
        <v>0</v>
      </c>
      <c r="G576">
        <v>0</v>
      </c>
      <c r="H576" s="1">
        <f t="shared" si="16"/>
        <v>45824</v>
      </c>
      <c r="I576">
        <f t="shared" si="17"/>
        <v>25</v>
      </c>
    </row>
    <row r="577" spans="1:9" x14ac:dyDescent="0.2">
      <c r="A577">
        <v>20250616</v>
      </c>
      <c r="B577" t="s">
        <v>10</v>
      </c>
      <c r="C577" t="s">
        <v>11</v>
      </c>
      <c r="D577">
        <v>5</v>
      </c>
      <c r="E577">
        <v>84.8</v>
      </c>
      <c r="F577">
        <v>0</v>
      </c>
      <c r="G577">
        <v>0</v>
      </c>
      <c r="H577" s="1">
        <f t="shared" si="16"/>
        <v>45824</v>
      </c>
      <c r="I577">
        <f t="shared" si="17"/>
        <v>25</v>
      </c>
    </row>
    <row r="578" spans="1:9" x14ac:dyDescent="0.2">
      <c r="A578">
        <v>20250616</v>
      </c>
      <c r="B578" t="s">
        <v>10</v>
      </c>
      <c r="C578" t="s">
        <v>8</v>
      </c>
      <c r="D578">
        <v>1</v>
      </c>
      <c r="E578">
        <v>30</v>
      </c>
      <c r="F578">
        <v>0</v>
      </c>
      <c r="G578">
        <v>0</v>
      </c>
      <c r="H578" s="1">
        <f t="shared" ref="H578:H599" si="18">DATE(LEFT(A578,4),MID(A578,5,2),RIGHT(A578,2))</f>
        <v>45824</v>
      </c>
      <c r="I578">
        <f t="shared" ref="I578:I599" si="19">WEEKNUM(H578)</f>
        <v>25</v>
      </c>
    </row>
    <row r="579" spans="1:9" x14ac:dyDescent="0.2">
      <c r="A579">
        <v>20250617</v>
      </c>
      <c r="B579" t="s">
        <v>12</v>
      </c>
      <c r="C579" t="s">
        <v>8</v>
      </c>
      <c r="D579">
        <v>6</v>
      </c>
      <c r="E579">
        <v>22.1666666666666</v>
      </c>
      <c r="F579">
        <v>0</v>
      </c>
      <c r="G579">
        <v>0</v>
      </c>
      <c r="H579" s="1">
        <f t="shared" si="18"/>
        <v>45825</v>
      </c>
      <c r="I579">
        <f t="shared" si="19"/>
        <v>25</v>
      </c>
    </row>
    <row r="580" spans="1:9" x14ac:dyDescent="0.2">
      <c r="A580">
        <v>20250617</v>
      </c>
      <c r="B580" t="s">
        <v>7</v>
      </c>
      <c r="C580" t="s">
        <v>8</v>
      </c>
      <c r="D580">
        <v>6</v>
      </c>
      <c r="E580">
        <v>11.5</v>
      </c>
      <c r="F580">
        <v>0</v>
      </c>
      <c r="G580">
        <v>0</v>
      </c>
      <c r="H580" s="1">
        <f t="shared" si="18"/>
        <v>45825</v>
      </c>
      <c r="I580">
        <f t="shared" si="19"/>
        <v>25</v>
      </c>
    </row>
    <row r="581" spans="1:9" x14ac:dyDescent="0.2">
      <c r="A581">
        <v>20250617</v>
      </c>
      <c r="B581" t="s">
        <v>9</v>
      </c>
      <c r="C581" t="s">
        <v>8</v>
      </c>
      <c r="D581">
        <v>27</v>
      </c>
      <c r="E581">
        <v>15.148148148148101</v>
      </c>
      <c r="F581">
        <v>0</v>
      </c>
      <c r="G581">
        <v>0</v>
      </c>
      <c r="H581" s="1">
        <f t="shared" si="18"/>
        <v>45825</v>
      </c>
      <c r="I581">
        <f t="shared" si="19"/>
        <v>25</v>
      </c>
    </row>
    <row r="582" spans="1:9" x14ac:dyDescent="0.2">
      <c r="A582">
        <v>20250617</v>
      </c>
      <c r="B582" t="s">
        <v>10</v>
      </c>
      <c r="C582" t="s">
        <v>11</v>
      </c>
      <c r="D582">
        <v>2</v>
      </c>
      <c r="E582">
        <v>83.5</v>
      </c>
      <c r="F582">
        <v>0</v>
      </c>
      <c r="G582">
        <v>0</v>
      </c>
      <c r="H582" s="1">
        <f t="shared" si="18"/>
        <v>45825</v>
      </c>
      <c r="I582">
        <f t="shared" si="19"/>
        <v>25</v>
      </c>
    </row>
    <row r="583" spans="1:9" x14ac:dyDescent="0.2">
      <c r="A583">
        <v>20250617</v>
      </c>
      <c r="B583" t="s">
        <v>10</v>
      </c>
      <c r="C583" t="s">
        <v>8</v>
      </c>
      <c r="D583">
        <v>1</v>
      </c>
      <c r="E583">
        <v>38</v>
      </c>
      <c r="F583">
        <v>0</v>
      </c>
      <c r="G583">
        <v>0</v>
      </c>
      <c r="H583" s="1">
        <f t="shared" si="18"/>
        <v>45825</v>
      </c>
      <c r="I583">
        <f t="shared" si="19"/>
        <v>25</v>
      </c>
    </row>
    <row r="584" spans="1:9" x14ac:dyDescent="0.2">
      <c r="A584">
        <v>20250617</v>
      </c>
      <c r="B584" t="s">
        <v>10</v>
      </c>
      <c r="C584" t="s">
        <v>21</v>
      </c>
      <c r="D584">
        <v>1</v>
      </c>
      <c r="E584">
        <v>45</v>
      </c>
      <c r="F584">
        <v>0</v>
      </c>
      <c r="G584">
        <v>0</v>
      </c>
      <c r="H584" s="1">
        <f t="shared" si="18"/>
        <v>45825</v>
      </c>
      <c r="I584">
        <f t="shared" si="19"/>
        <v>25</v>
      </c>
    </row>
    <row r="585" spans="1:9" x14ac:dyDescent="0.2">
      <c r="A585">
        <v>20250618</v>
      </c>
      <c r="B585" t="s">
        <v>12</v>
      </c>
      <c r="C585" t="s">
        <v>8</v>
      </c>
      <c r="D585">
        <v>9</v>
      </c>
      <c r="E585">
        <v>21.6666666666666</v>
      </c>
      <c r="F585">
        <v>0</v>
      </c>
      <c r="G585">
        <v>0</v>
      </c>
      <c r="H585" s="1">
        <f t="shared" si="18"/>
        <v>45826</v>
      </c>
      <c r="I585">
        <f t="shared" si="19"/>
        <v>25</v>
      </c>
    </row>
    <row r="586" spans="1:9" x14ac:dyDescent="0.2">
      <c r="A586">
        <v>20250618</v>
      </c>
      <c r="B586" t="s">
        <v>7</v>
      </c>
      <c r="C586" t="s">
        <v>8</v>
      </c>
      <c r="D586">
        <v>7</v>
      </c>
      <c r="E586">
        <v>7.71428571428571</v>
      </c>
      <c r="F586">
        <v>0</v>
      </c>
      <c r="G586">
        <v>0</v>
      </c>
      <c r="H586" s="1">
        <f t="shared" si="18"/>
        <v>45826</v>
      </c>
      <c r="I586">
        <f t="shared" si="19"/>
        <v>25</v>
      </c>
    </row>
    <row r="587" spans="1:9" x14ac:dyDescent="0.2">
      <c r="A587">
        <v>20250618</v>
      </c>
      <c r="B587" t="s">
        <v>9</v>
      </c>
      <c r="C587" t="s">
        <v>8</v>
      </c>
      <c r="D587">
        <v>26</v>
      </c>
      <c r="E587">
        <v>15.615384615384601</v>
      </c>
      <c r="F587">
        <v>0</v>
      </c>
      <c r="G587">
        <v>0</v>
      </c>
      <c r="H587" s="1">
        <f t="shared" si="18"/>
        <v>45826</v>
      </c>
      <c r="I587">
        <f t="shared" si="19"/>
        <v>25</v>
      </c>
    </row>
    <row r="588" spans="1:9" x14ac:dyDescent="0.2">
      <c r="A588">
        <v>20250618</v>
      </c>
      <c r="B588" t="s">
        <v>9</v>
      </c>
      <c r="C588" t="s">
        <v>26</v>
      </c>
      <c r="D588">
        <v>1</v>
      </c>
      <c r="E588">
        <v>1</v>
      </c>
      <c r="F588">
        <v>0</v>
      </c>
      <c r="G588">
        <v>0</v>
      </c>
      <c r="H588" s="1">
        <f t="shared" si="18"/>
        <v>45826</v>
      </c>
      <c r="I588">
        <f t="shared" si="19"/>
        <v>25</v>
      </c>
    </row>
    <row r="589" spans="1:9" x14ac:dyDescent="0.2">
      <c r="A589">
        <v>20250618</v>
      </c>
      <c r="B589" t="s">
        <v>10</v>
      </c>
      <c r="C589" t="s">
        <v>11</v>
      </c>
      <c r="D589">
        <v>4</v>
      </c>
      <c r="E589">
        <v>63.25</v>
      </c>
      <c r="F589">
        <v>0</v>
      </c>
      <c r="G589">
        <v>0</v>
      </c>
      <c r="H589" s="1">
        <f t="shared" si="18"/>
        <v>45826</v>
      </c>
      <c r="I589">
        <f t="shared" si="19"/>
        <v>25</v>
      </c>
    </row>
    <row r="590" spans="1:9" x14ac:dyDescent="0.2">
      <c r="A590">
        <v>20250618</v>
      </c>
      <c r="B590" t="s">
        <v>10</v>
      </c>
      <c r="C590" t="s">
        <v>8</v>
      </c>
      <c r="D590">
        <v>1</v>
      </c>
      <c r="E590">
        <v>33</v>
      </c>
      <c r="F590">
        <v>0</v>
      </c>
      <c r="G590">
        <v>0</v>
      </c>
      <c r="H590" s="1">
        <f t="shared" si="18"/>
        <v>45826</v>
      </c>
      <c r="I590">
        <f t="shared" si="19"/>
        <v>25</v>
      </c>
    </row>
    <row r="591" spans="1:9" x14ac:dyDescent="0.2">
      <c r="A591">
        <v>20250619</v>
      </c>
      <c r="B591" t="s">
        <v>12</v>
      </c>
      <c r="C591" t="s">
        <v>21</v>
      </c>
      <c r="D591">
        <v>1</v>
      </c>
      <c r="E591">
        <v>36</v>
      </c>
      <c r="F591">
        <v>0</v>
      </c>
      <c r="G591">
        <v>1</v>
      </c>
      <c r="H591" s="1">
        <f t="shared" si="18"/>
        <v>45827</v>
      </c>
      <c r="I591">
        <f t="shared" si="19"/>
        <v>25</v>
      </c>
    </row>
    <row r="592" spans="1:9" x14ac:dyDescent="0.2">
      <c r="A592">
        <v>20250619</v>
      </c>
      <c r="B592" t="s">
        <v>10</v>
      </c>
      <c r="C592" t="s">
        <v>11</v>
      </c>
      <c r="D592">
        <v>6</v>
      </c>
      <c r="E592">
        <v>48.6666666666666</v>
      </c>
      <c r="F592">
        <v>0</v>
      </c>
      <c r="G592">
        <v>0</v>
      </c>
      <c r="H592" s="1">
        <f t="shared" si="18"/>
        <v>45827</v>
      </c>
      <c r="I592">
        <f t="shared" si="19"/>
        <v>25</v>
      </c>
    </row>
    <row r="593" spans="1:9" x14ac:dyDescent="0.2">
      <c r="A593">
        <v>20250619</v>
      </c>
      <c r="B593" t="s">
        <v>10</v>
      </c>
      <c r="C593" t="s">
        <v>13</v>
      </c>
      <c r="D593">
        <v>1</v>
      </c>
      <c r="E593">
        <v>1</v>
      </c>
      <c r="F593">
        <v>0</v>
      </c>
      <c r="G593">
        <v>0</v>
      </c>
      <c r="H593" s="1">
        <f t="shared" si="18"/>
        <v>45827</v>
      </c>
      <c r="I593">
        <f t="shared" si="19"/>
        <v>25</v>
      </c>
    </row>
    <row r="594" spans="1:9" x14ac:dyDescent="0.2">
      <c r="A594">
        <v>20250620</v>
      </c>
      <c r="B594" t="s">
        <v>7</v>
      </c>
      <c r="C594" t="s">
        <v>28</v>
      </c>
      <c r="D594">
        <v>2</v>
      </c>
      <c r="E594">
        <v>26.5</v>
      </c>
      <c r="F594">
        <v>0</v>
      </c>
      <c r="G594">
        <v>0</v>
      </c>
      <c r="H594" s="1">
        <f t="shared" si="18"/>
        <v>45828</v>
      </c>
      <c r="I594">
        <f t="shared" si="19"/>
        <v>25</v>
      </c>
    </row>
    <row r="595" spans="1:9" x14ac:dyDescent="0.2">
      <c r="A595">
        <v>20250620</v>
      </c>
      <c r="B595" t="s">
        <v>7</v>
      </c>
      <c r="C595" t="s">
        <v>26</v>
      </c>
      <c r="D595">
        <v>1</v>
      </c>
      <c r="E595">
        <v>54</v>
      </c>
      <c r="F595">
        <v>0</v>
      </c>
      <c r="G595">
        <v>2</v>
      </c>
      <c r="H595" s="1">
        <f t="shared" si="18"/>
        <v>45828</v>
      </c>
      <c r="I595">
        <f t="shared" si="19"/>
        <v>25</v>
      </c>
    </row>
    <row r="596" spans="1:9" x14ac:dyDescent="0.2">
      <c r="A596">
        <v>20250620</v>
      </c>
      <c r="B596" t="s">
        <v>10</v>
      </c>
      <c r="C596" t="s">
        <v>11</v>
      </c>
      <c r="D596">
        <v>2</v>
      </c>
      <c r="E596">
        <v>44.5</v>
      </c>
      <c r="F596">
        <v>0</v>
      </c>
      <c r="G596">
        <v>0</v>
      </c>
      <c r="H596" s="1">
        <f t="shared" si="18"/>
        <v>45828</v>
      </c>
      <c r="I596">
        <f t="shared" si="19"/>
        <v>25</v>
      </c>
    </row>
    <row r="597" spans="1:9" x14ac:dyDescent="0.2">
      <c r="A597">
        <v>20250621</v>
      </c>
      <c r="B597" t="s">
        <v>9</v>
      </c>
      <c r="C597" t="s">
        <v>24</v>
      </c>
      <c r="D597">
        <v>1</v>
      </c>
      <c r="E597">
        <v>72</v>
      </c>
      <c r="F597">
        <v>0</v>
      </c>
      <c r="G597">
        <v>0</v>
      </c>
      <c r="H597" s="1">
        <f t="shared" si="18"/>
        <v>45829</v>
      </c>
      <c r="I597">
        <f t="shared" si="19"/>
        <v>25</v>
      </c>
    </row>
    <row r="598" spans="1:9" x14ac:dyDescent="0.2">
      <c r="A598">
        <v>20250621</v>
      </c>
      <c r="B598" t="s">
        <v>10</v>
      </c>
      <c r="C598" t="s">
        <v>11</v>
      </c>
      <c r="D598">
        <v>1</v>
      </c>
      <c r="E598">
        <v>77</v>
      </c>
      <c r="F598">
        <v>0</v>
      </c>
      <c r="G598">
        <v>0</v>
      </c>
      <c r="H598" s="1">
        <f t="shared" si="18"/>
        <v>45829</v>
      </c>
      <c r="I598">
        <f t="shared" si="19"/>
        <v>25</v>
      </c>
    </row>
    <row r="599" spans="1:9" x14ac:dyDescent="0.2">
      <c r="A599">
        <v>20250621</v>
      </c>
      <c r="B599" t="s">
        <v>10</v>
      </c>
      <c r="C599" t="s">
        <v>25</v>
      </c>
      <c r="D599">
        <v>1</v>
      </c>
      <c r="E599">
        <v>51</v>
      </c>
      <c r="F599">
        <v>0</v>
      </c>
      <c r="G599">
        <v>0</v>
      </c>
      <c r="H599" s="1">
        <f t="shared" si="18"/>
        <v>45829</v>
      </c>
      <c r="I599">
        <f t="shared" si="19"/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E0E0-1A62-7349-8213-270D90927E99}">
  <dimension ref="A1:B178"/>
  <sheetViews>
    <sheetView workbookViewId="0">
      <selection activeCell="B2" sqref="B2:B178"/>
    </sheetView>
  </sheetViews>
  <sheetFormatPr baseColWidth="10" defaultRowHeight="16" x14ac:dyDescent="0.2"/>
  <sheetData>
    <row r="1" spans="1:2" x14ac:dyDescent="0.2">
      <c r="A1" s="2" t="s">
        <v>0</v>
      </c>
    </row>
    <row r="2" spans="1:2" x14ac:dyDescent="0.2">
      <c r="A2">
        <v>20250101</v>
      </c>
      <c r="B2" s="9" t="str">
        <f>TEXT(DATE(2025,1,1)+ROW()-1,"YYYYMMDD")</f>
        <v>20250102</v>
      </c>
    </row>
    <row r="3" spans="1:2" x14ac:dyDescent="0.2">
      <c r="A3">
        <v>20250102</v>
      </c>
      <c r="B3" s="9" t="str">
        <f t="shared" ref="B3:B66" si="0">TEXT(DATE(2025,1,1)+ROW()-1,"YYYYMMDD")</f>
        <v>20250103</v>
      </c>
    </row>
    <row r="4" spans="1:2" x14ac:dyDescent="0.2">
      <c r="A4">
        <v>20250104</v>
      </c>
      <c r="B4" s="9" t="str">
        <f t="shared" si="0"/>
        <v>20250104</v>
      </c>
    </row>
    <row r="5" spans="1:2" x14ac:dyDescent="0.2">
      <c r="A5">
        <v>20250105</v>
      </c>
      <c r="B5" s="9" t="str">
        <f t="shared" si="0"/>
        <v>20250105</v>
      </c>
    </row>
    <row r="6" spans="1:2" x14ac:dyDescent="0.2">
      <c r="A6">
        <v>20250106</v>
      </c>
      <c r="B6" s="9" t="str">
        <f t="shared" si="0"/>
        <v>20250106</v>
      </c>
    </row>
    <row r="7" spans="1:2" x14ac:dyDescent="0.2">
      <c r="A7">
        <v>20250107</v>
      </c>
      <c r="B7" s="9" t="str">
        <f t="shared" si="0"/>
        <v>20250107</v>
      </c>
    </row>
    <row r="8" spans="1:2" x14ac:dyDescent="0.2">
      <c r="A8">
        <v>20250108</v>
      </c>
      <c r="B8" s="9" t="str">
        <f t="shared" si="0"/>
        <v>20250108</v>
      </c>
    </row>
    <row r="9" spans="1:2" x14ac:dyDescent="0.2">
      <c r="A9">
        <v>20250109</v>
      </c>
      <c r="B9" s="9" t="str">
        <f t="shared" si="0"/>
        <v>20250109</v>
      </c>
    </row>
    <row r="10" spans="1:2" x14ac:dyDescent="0.2">
      <c r="A10">
        <v>20250110</v>
      </c>
      <c r="B10" s="9" t="str">
        <f t="shared" si="0"/>
        <v>20250110</v>
      </c>
    </row>
    <row r="11" spans="1:2" x14ac:dyDescent="0.2">
      <c r="A11">
        <v>20250111</v>
      </c>
      <c r="B11" s="9" t="str">
        <f t="shared" si="0"/>
        <v>20250111</v>
      </c>
    </row>
    <row r="12" spans="1:2" x14ac:dyDescent="0.2">
      <c r="A12">
        <v>20250112</v>
      </c>
      <c r="B12" s="9" t="str">
        <f t="shared" si="0"/>
        <v>20250112</v>
      </c>
    </row>
    <row r="13" spans="1:2" x14ac:dyDescent="0.2">
      <c r="A13">
        <v>20250113</v>
      </c>
      <c r="B13" s="9" t="str">
        <f t="shared" si="0"/>
        <v>20250113</v>
      </c>
    </row>
    <row r="14" spans="1:2" x14ac:dyDescent="0.2">
      <c r="A14">
        <v>20250114</v>
      </c>
      <c r="B14" s="9" t="str">
        <f t="shared" si="0"/>
        <v>20250114</v>
      </c>
    </row>
    <row r="15" spans="1:2" x14ac:dyDescent="0.2">
      <c r="A15">
        <v>20250117</v>
      </c>
      <c r="B15" s="9" t="str">
        <f t="shared" si="0"/>
        <v>20250115</v>
      </c>
    </row>
    <row r="16" spans="1:2" x14ac:dyDescent="0.2">
      <c r="A16">
        <v>20250118</v>
      </c>
      <c r="B16" s="9" t="str">
        <f t="shared" si="0"/>
        <v>20250116</v>
      </c>
    </row>
    <row r="17" spans="1:2" x14ac:dyDescent="0.2">
      <c r="A17">
        <v>20250119</v>
      </c>
      <c r="B17" s="9" t="str">
        <f t="shared" si="0"/>
        <v>20250117</v>
      </c>
    </row>
    <row r="18" spans="1:2" x14ac:dyDescent="0.2">
      <c r="A18">
        <v>20250120</v>
      </c>
      <c r="B18" s="9" t="str">
        <f t="shared" si="0"/>
        <v>20250118</v>
      </c>
    </row>
    <row r="19" spans="1:2" x14ac:dyDescent="0.2">
      <c r="A19">
        <v>20250121</v>
      </c>
      <c r="B19" s="9" t="str">
        <f t="shared" si="0"/>
        <v>20250119</v>
      </c>
    </row>
    <row r="20" spans="1:2" x14ac:dyDescent="0.2">
      <c r="A20">
        <v>20250122</v>
      </c>
      <c r="B20" s="9" t="str">
        <f t="shared" si="0"/>
        <v>20250120</v>
      </c>
    </row>
    <row r="21" spans="1:2" x14ac:dyDescent="0.2">
      <c r="A21">
        <v>20250123</v>
      </c>
      <c r="B21" s="9" t="str">
        <f t="shared" si="0"/>
        <v>20250121</v>
      </c>
    </row>
    <row r="22" spans="1:2" x14ac:dyDescent="0.2">
      <c r="A22">
        <v>20250124</v>
      </c>
      <c r="B22" s="9" t="str">
        <f t="shared" si="0"/>
        <v>20250122</v>
      </c>
    </row>
    <row r="23" spans="1:2" x14ac:dyDescent="0.2">
      <c r="A23">
        <v>20250125</v>
      </c>
      <c r="B23" s="9" t="str">
        <f t="shared" si="0"/>
        <v>20250123</v>
      </c>
    </row>
    <row r="24" spans="1:2" x14ac:dyDescent="0.2">
      <c r="A24">
        <v>20250126</v>
      </c>
      <c r="B24" s="9" t="str">
        <f t="shared" si="0"/>
        <v>20250124</v>
      </c>
    </row>
    <row r="25" spans="1:2" x14ac:dyDescent="0.2">
      <c r="A25">
        <v>20250127</v>
      </c>
      <c r="B25" s="9" t="str">
        <f t="shared" si="0"/>
        <v>20250125</v>
      </c>
    </row>
    <row r="26" spans="1:2" x14ac:dyDescent="0.2">
      <c r="A26">
        <v>20250129</v>
      </c>
      <c r="B26" s="9" t="str">
        <f t="shared" si="0"/>
        <v>20250126</v>
      </c>
    </row>
    <row r="27" spans="1:2" x14ac:dyDescent="0.2">
      <c r="A27">
        <v>20250130</v>
      </c>
      <c r="B27" s="9" t="str">
        <f t="shared" si="0"/>
        <v>20250127</v>
      </c>
    </row>
    <row r="28" spans="1:2" x14ac:dyDescent="0.2">
      <c r="A28">
        <v>20250131</v>
      </c>
      <c r="B28" s="9" t="str">
        <f t="shared" si="0"/>
        <v>20250128</v>
      </c>
    </row>
    <row r="29" spans="1:2" x14ac:dyDescent="0.2">
      <c r="A29">
        <v>20250201</v>
      </c>
      <c r="B29" s="9" t="str">
        <f t="shared" si="0"/>
        <v>20250129</v>
      </c>
    </row>
    <row r="30" spans="1:2" x14ac:dyDescent="0.2">
      <c r="A30">
        <v>20250202</v>
      </c>
      <c r="B30" s="9" t="str">
        <f t="shared" si="0"/>
        <v>20250130</v>
      </c>
    </row>
    <row r="31" spans="1:2" x14ac:dyDescent="0.2">
      <c r="A31">
        <v>20250203</v>
      </c>
      <c r="B31" s="9" t="str">
        <f t="shared" si="0"/>
        <v>20250131</v>
      </c>
    </row>
    <row r="32" spans="1:2" x14ac:dyDescent="0.2">
      <c r="A32">
        <v>20250204</v>
      </c>
      <c r="B32" s="9" t="str">
        <f t="shared" si="0"/>
        <v>20250201</v>
      </c>
    </row>
    <row r="33" spans="1:2" x14ac:dyDescent="0.2">
      <c r="A33">
        <v>20250205</v>
      </c>
      <c r="B33" s="9" t="str">
        <f t="shared" si="0"/>
        <v>20250202</v>
      </c>
    </row>
    <row r="34" spans="1:2" x14ac:dyDescent="0.2">
      <c r="A34">
        <v>20250206</v>
      </c>
      <c r="B34" s="9" t="str">
        <f t="shared" si="0"/>
        <v>20250203</v>
      </c>
    </row>
    <row r="35" spans="1:2" x14ac:dyDescent="0.2">
      <c r="A35">
        <v>20250207</v>
      </c>
      <c r="B35" s="9" t="str">
        <f t="shared" si="0"/>
        <v>20250204</v>
      </c>
    </row>
    <row r="36" spans="1:2" x14ac:dyDescent="0.2">
      <c r="A36">
        <v>20250208</v>
      </c>
      <c r="B36" s="9" t="str">
        <f t="shared" si="0"/>
        <v>20250205</v>
      </c>
    </row>
    <row r="37" spans="1:2" x14ac:dyDescent="0.2">
      <c r="A37">
        <v>20250209</v>
      </c>
      <c r="B37" s="9" t="str">
        <f t="shared" si="0"/>
        <v>20250206</v>
      </c>
    </row>
    <row r="38" spans="1:2" x14ac:dyDescent="0.2">
      <c r="A38">
        <v>20250210</v>
      </c>
      <c r="B38" s="9" t="str">
        <f t="shared" si="0"/>
        <v>20250207</v>
      </c>
    </row>
    <row r="39" spans="1:2" x14ac:dyDescent="0.2">
      <c r="A39">
        <v>20250211</v>
      </c>
      <c r="B39" s="9" t="str">
        <f t="shared" si="0"/>
        <v>20250208</v>
      </c>
    </row>
    <row r="40" spans="1:2" x14ac:dyDescent="0.2">
      <c r="A40">
        <v>20250212</v>
      </c>
      <c r="B40" s="9" t="str">
        <f t="shared" si="0"/>
        <v>20250209</v>
      </c>
    </row>
    <row r="41" spans="1:2" x14ac:dyDescent="0.2">
      <c r="A41">
        <v>20250213</v>
      </c>
      <c r="B41" s="9" t="str">
        <f t="shared" si="0"/>
        <v>20250210</v>
      </c>
    </row>
    <row r="42" spans="1:2" x14ac:dyDescent="0.2">
      <c r="A42">
        <v>20250214</v>
      </c>
      <c r="B42" s="9" t="str">
        <f t="shared" si="0"/>
        <v>20250211</v>
      </c>
    </row>
    <row r="43" spans="1:2" x14ac:dyDescent="0.2">
      <c r="A43">
        <v>20250215</v>
      </c>
      <c r="B43" s="9" t="str">
        <f t="shared" si="0"/>
        <v>20250212</v>
      </c>
    </row>
    <row r="44" spans="1:2" x14ac:dyDescent="0.2">
      <c r="A44">
        <v>20250216</v>
      </c>
      <c r="B44" s="9" t="str">
        <f t="shared" si="0"/>
        <v>20250213</v>
      </c>
    </row>
    <row r="45" spans="1:2" x14ac:dyDescent="0.2">
      <c r="A45">
        <v>20250217</v>
      </c>
      <c r="B45" s="9" t="str">
        <f t="shared" si="0"/>
        <v>20250214</v>
      </c>
    </row>
    <row r="46" spans="1:2" x14ac:dyDescent="0.2">
      <c r="A46">
        <v>20250218</v>
      </c>
      <c r="B46" s="9" t="str">
        <f t="shared" si="0"/>
        <v>20250215</v>
      </c>
    </row>
    <row r="47" spans="1:2" x14ac:dyDescent="0.2">
      <c r="A47">
        <v>20250219</v>
      </c>
      <c r="B47" s="9" t="str">
        <f t="shared" si="0"/>
        <v>20250216</v>
      </c>
    </row>
    <row r="48" spans="1:2" x14ac:dyDescent="0.2">
      <c r="A48">
        <v>20250220</v>
      </c>
      <c r="B48" s="9" t="str">
        <f t="shared" si="0"/>
        <v>20250217</v>
      </c>
    </row>
    <row r="49" spans="1:2" x14ac:dyDescent="0.2">
      <c r="A49">
        <v>20250221</v>
      </c>
      <c r="B49" s="9" t="str">
        <f t="shared" si="0"/>
        <v>20250218</v>
      </c>
    </row>
    <row r="50" spans="1:2" x14ac:dyDescent="0.2">
      <c r="A50">
        <v>20250222</v>
      </c>
      <c r="B50" s="9" t="str">
        <f t="shared" si="0"/>
        <v>20250219</v>
      </c>
    </row>
    <row r="51" spans="1:2" x14ac:dyDescent="0.2">
      <c r="A51">
        <v>20250223</v>
      </c>
      <c r="B51" s="9" t="str">
        <f t="shared" si="0"/>
        <v>20250220</v>
      </c>
    </row>
    <row r="52" spans="1:2" x14ac:dyDescent="0.2">
      <c r="A52">
        <v>20250224</v>
      </c>
      <c r="B52" s="9" t="str">
        <f t="shared" si="0"/>
        <v>20250221</v>
      </c>
    </row>
    <row r="53" spans="1:2" x14ac:dyDescent="0.2">
      <c r="A53">
        <v>20250225</v>
      </c>
      <c r="B53" s="9" t="str">
        <f t="shared" si="0"/>
        <v>20250222</v>
      </c>
    </row>
    <row r="54" spans="1:2" x14ac:dyDescent="0.2">
      <c r="A54">
        <v>20250226</v>
      </c>
      <c r="B54" s="9" t="str">
        <f t="shared" si="0"/>
        <v>20250223</v>
      </c>
    </row>
    <row r="55" spans="1:2" x14ac:dyDescent="0.2">
      <c r="A55">
        <v>20250227</v>
      </c>
      <c r="B55" s="9" t="str">
        <f t="shared" si="0"/>
        <v>20250224</v>
      </c>
    </row>
    <row r="56" spans="1:2" x14ac:dyDescent="0.2">
      <c r="A56">
        <v>20250228</v>
      </c>
      <c r="B56" s="9" t="str">
        <f t="shared" si="0"/>
        <v>20250225</v>
      </c>
    </row>
    <row r="57" spans="1:2" x14ac:dyDescent="0.2">
      <c r="A57">
        <v>20250301</v>
      </c>
      <c r="B57" s="9" t="str">
        <f t="shared" si="0"/>
        <v>20250226</v>
      </c>
    </row>
    <row r="58" spans="1:2" x14ac:dyDescent="0.2">
      <c r="A58">
        <v>20250302</v>
      </c>
      <c r="B58" s="9" t="str">
        <f t="shared" si="0"/>
        <v>20250227</v>
      </c>
    </row>
    <row r="59" spans="1:2" x14ac:dyDescent="0.2">
      <c r="A59">
        <v>20250303</v>
      </c>
      <c r="B59" s="9" t="str">
        <f t="shared" si="0"/>
        <v>20250228</v>
      </c>
    </row>
    <row r="60" spans="1:2" x14ac:dyDescent="0.2">
      <c r="A60">
        <v>20250304</v>
      </c>
      <c r="B60" s="9" t="str">
        <f t="shared" si="0"/>
        <v>20250301</v>
      </c>
    </row>
    <row r="61" spans="1:2" x14ac:dyDescent="0.2">
      <c r="A61">
        <v>20250305</v>
      </c>
      <c r="B61" s="9" t="str">
        <f t="shared" si="0"/>
        <v>20250302</v>
      </c>
    </row>
    <row r="62" spans="1:2" x14ac:dyDescent="0.2">
      <c r="A62">
        <v>20250307</v>
      </c>
      <c r="B62" s="9" t="str">
        <f t="shared" si="0"/>
        <v>20250303</v>
      </c>
    </row>
    <row r="63" spans="1:2" x14ac:dyDescent="0.2">
      <c r="A63">
        <v>20250308</v>
      </c>
      <c r="B63" s="9" t="str">
        <f t="shared" si="0"/>
        <v>20250304</v>
      </c>
    </row>
    <row r="64" spans="1:2" x14ac:dyDescent="0.2">
      <c r="A64">
        <v>20250309</v>
      </c>
      <c r="B64" s="9" t="str">
        <f t="shared" si="0"/>
        <v>20250305</v>
      </c>
    </row>
    <row r="65" spans="1:2" x14ac:dyDescent="0.2">
      <c r="A65">
        <v>20250310</v>
      </c>
      <c r="B65" s="9" t="str">
        <f t="shared" si="0"/>
        <v>20250306</v>
      </c>
    </row>
    <row r="66" spans="1:2" x14ac:dyDescent="0.2">
      <c r="A66">
        <v>20250311</v>
      </c>
      <c r="B66" s="9" t="str">
        <f t="shared" si="0"/>
        <v>20250307</v>
      </c>
    </row>
    <row r="67" spans="1:2" x14ac:dyDescent="0.2">
      <c r="A67">
        <v>20250312</v>
      </c>
      <c r="B67" s="9" t="str">
        <f t="shared" ref="B67:B130" si="1">TEXT(DATE(2025,1,1)+ROW()-1,"YYYYMMDD")</f>
        <v>20250308</v>
      </c>
    </row>
    <row r="68" spans="1:2" x14ac:dyDescent="0.2">
      <c r="A68">
        <v>20250313</v>
      </c>
      <c r="B68" s="9" t="str">
        <f t="shared" si="1"/>
        <v>20250309</v>
      </c>
    </row>
    <row r="69" spans="1:2" x14ac:dyDescent="0.2">
      <c r="A69">
        <v>20250314</v>
      </c>
      <c r="B69" s="9" t="str">
        <f t="shared" si="1"/>
        <v>20250310</v>
      </c>
    </row>
    <row r="70" spans="1:2" x14ac:dyDescent="0.2">
      <c r="A70">
        <v>20250315</v>
      </c>
      <c r="B70" s="9" t="str">
        <f t="shared" si="1"/>
        <v>20250311</v>
      </c>
    </row>
    <row r="71" spans="1:2" x14ac:dyDescent="0.2">
      <c r="A71">
        <v>20250316</v>
      </c>
      <c r="B71" s="9" t="str">
        <f t="shared" si="1"/>
        <v>20250312</v>
      </c>
    </row>
    <row r="72" spans="1:2" x14ac:dyDescent="0.2">
      <c r="A72">
        <v>20250317</v>
      </c>
      <c r="B72" s="9" t="str">
        <f t="shared" si="1"/>
        <v>20250313</v>
      </c>
    </row>
    <row r="73" spans="1:2" x14ac:dyDescent="0.2">
      <c r="A73">
        <v>20250318</v>
      </c>
      <c r="B73" s="9" t="str">
        <f t="shared" si="1"/>
        <v>20250314</v>
      </c>
    </row>
    <row r="74" spans="1:2" x14ac:dyDescent="0.2">
      <c r="A74">
        <v>20250319</v>
      </c>
      <c r="B74" s="9" t="str">
        <f t="shared" si="1"/>
        <v>20250315</v>
      </c>
    </row>
    <row r="75" spans="1:2" x14ac:dyDescent="0.2">
      <c r="A75">
        <v>20250320</v>
      </c>
      <c r="B75" s="9" t="str">
        <f t="shared" si="1"/>
        <v>20250316</v>
      </c>
    </row>
    <row r="76" spans="1:2" x14ac:dyDescent="0.2">
      <c r="A76">
        <v>20250321</v>
      </c>
      <c r="B76" s="9" t="str">
        <f t="shared" si="1"/>
        <v>20250317</v>
      </c>
    </row>
    <row r="77" spans="1:2" x14ac:dyDescent="0.2">
      <c r="A77">
        <v>20250322</v>
      </c>
      <c r="B77" s="9" t="str">
        <f t="shared" si="1"/>
        <v>20250318</v>
      </c>
    </row>
    <row r="78" spans="1:2" x14ac:dyDescent="0.2">
      <c r="A78">
        <v>20250323</v>
      </c>
      <c r="B78" s="9" t="str">
        <f t="shared" si="1"/>
        <v>20250319</v>
      </c>
    </row>
    <row r="79" spans="1:2" x14ac:dyDescent="0.2">
      <c r="A79">
        <v>20250324</v>
      </c>
      <c r="B79" s="9" t="str">
        <f t="shared" si="1"/>
        <v>20250320</v>
      </c>
    </row>
    <row r="80" spans="1:2" x14ac:dyDescent="0.2">
      <c r="A80">
        <v>20250325</v>
      </c>
      <c r="B80" s="9" t="str">
        <f t="shared" si="1"/>
        <v>20250321</v>
      </c>
    </row>
    <row r="81" spans="1:2" x14ac:dyDescent="0.2">
      <c r="A81">
        <v>20250326</v>
      </c>
      <c r="B81" s="9" t="str">
        <f t="shared" si="1"/>
        <v>20250322</v>
      </c>
    </row>
    <row r="82" spans="1:2" x14ac:dyDescent="0.2">
      <c r="A82">
        <v>20250327</v>
      </c>
      <c r="B82" s="9" t="str">
        <f t="shared" si="1"/>
        <v>20250323</v>
      </c>
    </row>
    <row r="83" spans="1:2" x14ac:dyDescent="0.2">
      <c r="A83">
        <v>20250328</v>
      </c>
      <c r="B83" s="9" t="str">
        <f t="shared" si="1"/>
        <v>20250324</v>
      </c>
    </row>
    <row r="84" spans="1:2" x14ac:dyDescent="0.2">
      <c r="A84">
        <v>20250329</v>
      </c>
      <c r="B84" s="9" t="str">
        <f t="shared" si="1"/>
        <v>20250325</v>
      </c>
    </row>
    <row r="85" spans="1:2" x14ac:dyDescent="0.2">
      <c r="A85">
        <v>20250330</v>
      </c>
      <c r="B85" s="9" t="str">
        <f t="shared" si="1"/>
        <v>20250326</v>
      </c>
    </row>
    <row r="86" spans="1:2" x14ac:dyDescent="0.2">
      <c r="A86">
        <v>20250331</v>
      </c>
      <c r="B86" s="9" t="str">
        <f t="shared" si="1"/>
        <v>20250327</v>
      </c>
    </row>
    <row r="87" spans="1:2" x14ac:dyDescent="0.2">
      <c r="A87">
        <v>20250401</v>
      </c>
      <c r="B87" s="9" t="str">
        <f t="shared" si="1"/>
        <v>20250328</v>
      </c>
    </row>
    <row r="88" spans="1:2" x14ac:dyDescent="0.2">
      <c r="A88">
        <v>20250402</v>
      </c>
      <c r="B88" s="9" t="str">
        <f t="shared" si="1"/>
        <v>20250329</v>
      </c>
    </row>
    <row r="89" spans="1:2" x14ac:dyDescent="0.2">
      <c r="A89">
        <v>20250403</v>
      </c>
      <c r="B89" s="9" t="str">
        <f t="shared" si="1"/>
        <v>20250330</v>
      </c>
    </row>
    <row r="90" spans="1:2" x14ac:dyDescent="0.2">
      <c r="A90">
        <v>20250404</v>
      </c>
      <c r="B90" s="9" t="str">
        <f t="shared" si="1"/>
        <v>20250331</v>
      </c>
    </row>
    <row r="91" spans="1:2" x14ac:dyDescent="0.2">
      <c r="A91">
        <v>20250405</v>
      </c>
      <c r="B91" s="9" t="str">
        <f t="shared" si="1"/>
        <v>20250401</v>
      </c>
    </row>
    <row r="92" spans="1:2" x14ac:dyDescent="0.2">
      <c r="A92">
        <v>20250406</v>
      </c>
      <c r="B92" s="9" t="str">
        <f t="shared" si="1"/>
        <v>20250402</v>
      </c>
    </row>
    <row r="93" spans="1:2" x14ac:dyDescent="0.2">
      <c r="A93">
        <v>20250407</v>
      </c>
      <c r="B93" s="9" t="str">
        <f t="shared" si="1"/>
        <v>20250403</v>
      </c>
    </row>
    <row r="94" spans="1:2" x14ac:dyDescent="0.2">
      <c r="A94">
        <v>20250408</v>
      </c>
      <c r="B94" s="9" t="str">
        <f t="shared" si="1"/>
        <v>20250404</v>
      </c>
    </row>
    <row r="95" spans="1:2" x14ac:dyDescent="0.2">
      <c r="A95">
        <v>20250409</v>
      </c>
      <c r="B95" s="9" t="str">
        <f t="shared" si="1"/>
        <v>20250405</v>
      </c>
    </row>
    <row r="96" spans="1:2" x14ac:dyDescent="0.2">
      <c r="A96">
        <v>20250410</v>
      </c>
      <c r="B96" s="9" t="str">
        <f t="shared" si="1"/>
        <v>20250406</v>
      </c>
    </row>
    <row r="97" spans="1:2" x14ac:dyDescent="0.2">
      <c r="A97">
        <v>20250411</v>
      </c>
      <c r="B97" s="9" t="str">
        <f t="shared" si="1"/>
        <v>20250407</v>
      </c>
    </row>
    <row r="98" spans="1:2" x14ac:dyDescent="0.2">
      <c r="A98">
        <v>20250412</v>
      </c>
      <c r="B98" s="9" t="str">
        <f t="shared" si="1"/>
        <v>20250408</v>
      </c>
    </row>
    <row r="99" spans="1:2" x14ac:dyDescent="0.2">
      <c r="A99">
        <v>20250413</v>
      </c>
      <c r="B99" s="9" t="str">
        <f t="shared" si="1"/>
        <v>20250409</v>
      </c>
    </row>
    <row r="100" spans="1:2" x14ac:dyDescent="0.2">
      <c r="A100">
        <v>20250414</v>
      </c>
      <c r="B100" s="9" t="str">
        <f t="shared" si="1"/>
        <v>20250410</v>
      </c>
    </row>
    <row r="101" spans="1:2" x14ac:dyDescent="0.2">
      <c r="A101">
        <v>20250415</v>
      </c>
      <c r="B101" s="9" t="str">
        <f t="shared" si="1"/>
        <v>20250411</v>
      </c>
    </row>
    <row r="102" spans="1:2" x14ac:dyDescent="0.2">
      <c r="A102">
        <v>20250416</v>
      </c>
      <c r="B102" s="9" t="str">
        <f t="shared" si="1"/>
        <v>20250412</v>
      </c>
    </row>
    <row r="103" spans="1:2" x14ac:dyDescent="0.2">
      <c r="A103">
        <v>20250417</v>
      </c>
      <c r="B103" s="9" t="str">
        <f t="shared" si="1"/>
        <v>20250413</v>
      </c>
    </row>
    <row r="104" spans="1:2" x14ac:dyDescent="0.2">
      <c r="A104">
        <v>20250418</v>
      </c>
      <c r="B104" s="9" t="str">
        <f t="shared" si="1"/>
        <v>20250414</v>
      </c>
    </row>
    <row r="105" spans="1:2" x14ac:dyDescent="0.2">
      <c r="A105">
        <v>20250419</v>
      </c>
      <c r="B105" s="9" t="str">
        <f t="shared" si="1"/>
        <v>20250415</v>
      </c>
    </row>
    <row r="106" spans="1:2" x14ac:dyDescent="0.2">
      <c r="A106">
        <v>20250420</v>
      </c>
      <c r="B106" s="9" t="str">
        <f t="shared" si="1"/>
        <v>20250416</v>
      </c>
    </row>
    <row r="107" spans="1:2" x14ac:dyDescent="0.2">
      <c r="A107">
        <v>20250421</v>
      </c>
      <c r="B107" s="9" t="str">
        <f t="shared" si="1"/>
        <v>20250417</v>
      </c>
    </row>
    <row r="108" spans="1:2" x14ac:dyDescent="0.2">
      <c r="A108">
        <v>20250422</v>
      </c>
      <c r="B108" s="9" t="str">
        <f t="shared" si="1"/>
        <v>20250418</v>
      </c>
    </row>
    <row r="109" spans="1:2" x14ac:dyDescent="0.2">
      <c r="A109">
        <v>20250423</v>
      </c>
      <c r="B109" s="9" t="str">
        <f t="shared" si="1"/>
        <v>20250419</v>
      </c>
    </row>
    <row r="110" spans="1:2" x14ac:dyDescent="0.2">
      <c r="A110">
        <v>20250424</v>
      </c>
      <c r="B110" s="9" t="str">
        <f t="shared" si="1"/>
        <v>20250420</v>
      </c>
    </row>
    <row r="111" spans="1:2" x14ac:dyDescent="0.2">
      <c r="A111">
        <v>20250425</v>
      </c>
      <c r="B111" s="9" t="str">
        <f t="shared" si="1"/>
        <v>20250421</v>
      </c>
    </row>
    <row r="112" spans="1:2" x14ac:dyDescent="0.2">
      <c r="A112">
        <v>20250426</v>
      </c>
      <c r="B112" s="9" t="str">
        <f t="shared" si="1"/>
        <v>20250422</v>
      </c>
    </row>
    <row r="113" spans="1:2" x14ac:dyDescent="0.2">
      <c r="A113">
        <v>20250427</v>
      </c>
      <c r="B113" s="9" t="str">
        <f t="shared" si="1"/>
        <v>20250423</v>
      </c>
    </row>
    <row r="114" spans="1:2" x14ac:dyDescent="0.2">
      <c r="A114">
        <v>20250428</v>
      </c>
      <c r="B114" s="9" t="str">
        <f t="shared" si="1"/>
        <v>20250424</v>
      </c>
    </row>
    <row r="115" spans="1:2" x14ac:dyDescent="0.2">
      <c r="A115">
        <v>20250429</v>
      </c>
      <c r="B115" s="9" t="str">
        <f t="shared" si="1"/>
        <v>20250425</v>
      </c>
    </row>
    <row r="116" spans="1:2" x14ac:dyDescent="0.2">
      <c r="A116">
        <v>20250430</v>
      </c>
      <c r="B116" s="9" t="str">
        <f t="shared" si="1"/>
        <v>20250426</v>
      </c>
    </row>
    <row r="117" spans="1:2" x14ac:dyDescent="0.2">
      <c r="A117">
        <v>20250501</v>
      </c>
      <c r="B117" s="9" t="str">
        <f t="shared" si="1"/>
        <v>20250427</v>
      </c>
    </row>
    <row r="118" spans="1:2" x14ac:dyDescent="0.2">
      <c r="A118">
        <v>20250502</v>
      </c>
      <c r="B118" s="9" t="str">
        <f t="shared" si="1"/>
        <v>20250428</v>
      </c>
    </row>
    <row r="119" spans="1:2" x14ac:dyDescent="0.2">
      <c r="A119">
        <v>20250503</v>
      </c>
      <c r="B119" s="9" t="str">
        <f t="shared" si="1"/>
        <v>20250429</v>
      </c>
    </row>
    <row r="120" spans="1:2" x14ac:dyDescent="0.2">
      <c r="A120">
        <v>20250504</v>
      </c>
      <c r="B120" s="9" t="str">
        <f t="shared" si="1"/>
        <v>20250430</v>
      </c>
    </row>
    <row r="121" spans="1:2" x14ac:dyDescent="0.2">
      <c r="A121">
        <v>20250505</v>
      </c>
      <c r="B121" s="9" t="str">
        <f t="shared" si="1"/>
        <v>20250501</v>
      </c>
    </row>
    <row r="122" spans="1:2" x14ac:dyDescent="0.2">
      <c r="A122">
        <v>20250506</v>
      </c>
      <c r="B122" s="9" t="str">
        <f t="shared" si="1"/>
        <v>20250502</v>
      </c>
    </row>
    <row r="123" spans="1:2" x14ac:dyDescent="0.2">
      <c r="A123">
        <v>20250507</v>
      </c>
      <c r="B123" s="9" t="str">
        <f t="shared" si="1"/>
        <v>20250503</v>
      </c>
    </row>
    <row r="124" spans="1:2" x14ac:dyDescent="0.2">
      <c r="A124">
        <v>20250508</v>
      </c>
      <c r="B124" s="9" t="str">
        <f t="shared" si="1"/>
        <v>20250504</v>
      </c>
    </row>
    <row r="125" spans="1:2" x14ac:dyDescent="0.2">
      <c r="A125">
        <v>20250509</v>
      </c>
      <c r="B125" s="9" t="str">
        <f t="shared" si="1"/>
        <v>20250505</v>
      </c>
    </row>
    <row r="126" spans="1:2" x14ac:dyDescent="0.2">
      <c r="A126">
        <v>20250510</v>
      </c>
      <c r="B126" s="9" t="str">
        <f t="shared" si="1"/>
        <v>20250506</v>
      </c>
    </row>
    <row r="127" spans="1:2" x14ac:dyDescent="0.2">
      <c r="A127">
        <v>20250511</v>
      </c>
      <c r="B127" s="9" t="str">
        <f t="shared" si="1"/>
        <v>20250507</v>
      </c>
    </row>
    <row r="128" spans="1:2" x14ac:dyDescent="0.2">
      <c r="A128">
        <v>20250512</v>
      </c>
      <c r="B128" s="9" t="str">
        <f t="shared" si="1"/>
        <v>20250508</v>
      </c>
    </row>
    <row r="129" spans="1:2" x14ac:dyDescent="0.2">
      <c r="A129">
        <v>20250513</v>
      </c>
      <c r="B129" s="9" t="str">
        <f t="shared" si="1"/>
        <v>20250509</v>
      </c>
    </row>
    <row r="130" spans="1:2" x14ac:dyDescent="0.2">
      <c r="A130">
        <v>20250514</v>
      </c>
      <c r="B130" s="9" t="str">
        <f t="shared" si="1"/>
        <v>20250510</v>
      </c>
    </row>
    <row r="131" spans="1:2" x14ac:dyDescent="0.2">
      <c r="A131">
        <v>20250515</v>
      </c>
      <c r="B131" s="9" t="str">
        <f t="shared" ref="B131:B168" si="2">TEXT(DATE(2025,1,1)+ROW()-1,"YYYYMMDD")</f>
        <v>20250511</v>
      </c>
    </row>
    <row r="132" spans="1:2" x14ac:dyDescent="0.2">
      <c r="A132">
        <v>20250516</v>
      </c>
      <c r="B132" s="9" t="str">
        <f t="shared" si="2"/>
        <v>20250512</v>
      </c>
    </row>
    <row r="133" spans="1:2" x14ac:dyDescent="0.2">
      <c r="A133">
        <v>20250517</v>
      </c>
      <c r="B133" s="9" t="str">
        <f t="shared" si="2"/>
        <v>20250513</v>
      </c>
    </row>
    <row r="134" spans="1:2" x14ac:dyDescent="0.2">
      <c r="A134">
        <v>20250518</v>
      </c>
      <c r="B134" s="9" t="str">
        <f t="shared" si="2"/>
        <v>20250514</v>
      </c>
    </row>
    <row r="135" spans="1:2" x14ac:dyDescent="0.2">
      <c r="A135">
        <v>20250519</v>
      </c>
      <c r="B135" s="9" t="str">
        <f t="shared" si="2"/>
        <v>20250515</v>
      </c>
    </row>
    <row r="136" spans="1:2" x14ac:dyDescent="0.2">
      <c r="A136">
        <v>20250520</v>
      </c>
      <c r="B136" s="9" t="str">
        <f t="shared" si="2"/>
        <v>20250516</v>
      </c>
    </row>
    <row r="137" spans="1:2" x14ac:dyDescent="0.2">
      <c r="A137">
        <v>20250521</v>
      </c>
      <c r="B137" s="9" t="str">
        <f t="shared" si="2"/>
        <v>20250517</v>
      </c>
    </row>
    <row r="138" spans="1:2" x14ac:dyDescent="0.2">
      <c r="A138">
        <v>20250522</v>
      </c>
      <c r="B138" s="9" t="str">
        <f t="shared" si="2"/>
        <v>20250518</v>
      </c>
    </row>
    <row r="139" spans="1:2" x14ac:dyDescent="0.2">
      <c r="A139">
        <v>20250523</v>
      </c>
      <c r="B139" s="9" t="str">
        <f t="shared" si="2"/>
        <v>20250519</v>
      </c>
    </row>
    <row r="140" spans="1:2" x14ac:dyDescent="0.2">
      <c r="A140">
        <v>20250524</v>
      </c>
      <c r="B140" s="9" t="str">
        <f t="shared" si="2"/>
        <v>20250520</v>
      </c>
    </row>
    <row r="141" spans="1:2" x14ac:dyDescent="0.2">
      <c r="A141">
        <v>20250525</v>
      </c>
      <c r="B141" s="9" t="str">
        <f t="shared" si="2"/>
        <v>20250521</v>
      </c>
    </row>
    <row r="142" spans="1:2" x14ac:dyDescent="0.2">
      <c r="A142">
        <v>20250526</v>
      </c>
      <c r="B142" s="9" t="str">
        <f t="shared" si="2"/>
        <v>20250522</v>
      </c>
    </row>
    <row r="143" spans="1:2" x14ac:dyDescent="0.2">
      <c r="A143">
        <v>20250527</v>
      </c>
      <c r="B143" s="9" t="str">
        <f t="shared" si="2"/>
        <v>20250523</v>
      </c>
    </row>
    <row r="144" spans="1:2" x14ac:dyDescent="0.2">
      <c r="A144">
        <v>20250528</v>
      </c>
      <c r="B144" s="9" t="str">
        <f t="shared" si="2"/>
        <v>20250524</v>
      </c>
    </row>
    <row r="145" spans="1:2" x14ac:dyDescent="0.2">
      <c r="A145">
        <v>20250529</v>
      </c>
      <c r="B145" s="9" t="str">
        <f t="shared" si="2"/>
        <v>20250525</v>
      </c>
    </row>
    <row r="146" spans="1:2" x14ac:dyDescent="0.2">
      <c r="A146">
        <v>20250530</v>
      </c>
      <c r="B146" s="9" t="str">
        <f t="shared" si="2"/>
        <v>20250526</v>
      </c>
    </row>
    <row r="147" spans="1:2" x14ac:dyDescent="0.2">
      <c r="A147">
        <v>20250531</v>
      </c>
      <c r="B147" s="9" t="str">
        <f t="shared" si="2"/>
        <v>20250527</v>
      </c>
    </row>
    <row r="148" spans="1:2" x14ac:dyDescent="0.2">
      <c r="A148">
        <v>20250601</v>
      </c>
      <c r="B148" s="9" t="str">
        <f t="shared" si="2"/>
        <v>20250528</v>
      </c>
    </row>
    <row r="149" spans="1:2" x14ac:dyDescent="0.2">
      <c r="A149">
        <v>20250602</v>
      </c>
      <c r="B149" s="9" t="str">
        <f t="shared" si="2"/>
        <v>20250529</v>
      </c>
    </row>
    <row r="150" spans="1:2" x14ac:dyDescent="0.2">
      <c r="A150">
        <v>20250603</v>
      </c>
      <c r="B150" s="9" t="str">
        <f t="shared" si="2"/>
        <v>20250530</v>
      </c>
    </row>
    <row r="151" spans="1:2" x14ac:dyDescent="0.2">
      <c r="A151">
        <v>20250604</v>
      </c>
      <c r="B151" s="9" t="str">
        <f t="shared" si="2"/>
        <v>20250531</v>
      </c>
    </row>
    <row r="152" spans="1:2" x14ac:dyDescent="0.2">
      <c r="A152">
        <v>20250605</v>
      </c>
      <c r="B152" s="9" t="str">
        <f t="shared" si="2"/>
        <v>20250601</v>
      </c>
    </row>
    <row r="153" spans="1:2" x14ac:dyDescent="0.2">
      <c r="A153">
        <v>20250606</v>
      </c>
      <c r="B153" s="9" t="str">
        <f t="shared" si="2"/>
        <v>20250602</v>
      </c>
    </row>
    <row r="154" spans="1:2" x14ac:dyDescent="0.2">
      <c r="A154">
        <v>20250607</v>
      </c>
      <c r="B154" s="9" t="str">
        <f t="shared" si="2"/>
        <v>20250603</v>
      </c>
    </row>
    <row r="155" spans="1:2" x14ac:dyDescent="0.2">
      <c r="A155">
        <v>20250608</v>
      </c>
      <c r="B155" s="9" t="str">
        <f t="shared" si="2"/>
        <v>20250604</v>
      </c>
    </row>
    <row r="156" spans="1:2" x14ac:dyDescent="0.2">
      <c r="A156">
        <v>20250609</v>
      </c>
      <c r="B156" s="9" t="str">
        <f t="shared" si="2"/>
        <v>20250605</v>
      </c>
    </row>
    <row r="157" spans="1:2" x14ac:dyDescent="0.2">
      <c r="A157">
        <v>20250610</v>
      </c>
      <c r="B157" s="9" t="str">
        <f t="shared" si="2"/>
        <v>20250606</v>
      </c>
    </row>
    <row r="158" spans="1:2" x14ac:dyDescent="0.2">
      <c r="A158">
        <v>20250611</v>
      </c>
      <c r="B158" s="9" t="str">
        <f t="shared" si="2"/>
        <v>20250607</v>
      </c>
    </row>
    <row r="159" spans="1:2" x14ac:dyDescent="0.2">
      <c r="A159">
        <v>20250612</v>
      </c>
      <c r="B159" s="9" t="str">
        <f t="shared" si="2"/>
        <v>20250608</v>
      </c>
    </row>
    <row r="160" spans="1:2" x14ac:dyDescent="0.2">
      <c r="A160">
        <v>20250613</v>
      </c>
      <c r="B160" s="9" t="str">
        <f t="shared" si="2"/>
        <v>20250609</v>
      </c>
    </row>
    <row r="161" spans="1:2" x14ac:dyDescent="0.2">
      <c r="A161">
        <v>20250614</v>
      </c>
      <c r="B161" s="9" t="str">
        <f t="shared" si="2"/>
        <v>20250610</v>
      </c>
    </row>
    <row r="162" spans="1:2" x14ac:dyDescent="0.2">
      <c r="A162">
        <v>20250615</v>
      </c>
      <c r="B162" s="9" t="str">
        <f t="shared" si="2"/>
        <v>20250611</v>
      </c>
    </row>
    <row r="163" spans="1:2" x14ac:dyDescent="0.2">
      <c r="A163">
        <v>20250616</v>
      </c>
      <c r="B163" s="9" t="str">
        <f t="shared" si="2"/>
        <v>20250612</v>
      </c>
    </row>
    <row r="164" spans="1:2" x14ac:dyDescent="0.2">
      <c r="A164">
        <v>20250617</v>
      </c>
      <c r="B164" s="9" t="str">
        <f t="shared" si="2"/>
        <v>20250613</v>
      </c>
    </row>
    <row r="165" spans="1:2" x14ac:dyDescent="0.2">
      <c r="A165">
        <v>20250618</v>
      </c>
      <c r="B165" s="9" t="str">
        <f t="shared" si="2"/>
        <v>20250614</v>
      </c>
    </row>
    <row r="166" spans="1:2" x14ac:dyDescent="0.2">
      <c r="A166">
        <v>20250619</v>
      </c>
      <c r="B166" s="9" t="str">
        <f t="shared" si="2"/>
        <v>20250615</v>
      </c>
    </row>
    <row r="167" spans="1:2" x14ac:dyDescent="0.2">
      <c r="A167">
        <v>20250620</v>
      </c>
      <c r="B167" s="9" t="str">
        <f t="shared" si="2"/>
        <v>20250616</v>
      </c>
    </row>
    <row r="168" spans="1:2" x14ac:dyDescent="0.2">
      <c r="A168">
        <v>20250621</v>
      </c>
      <c r="B168" s="9" t="str">
        <f t="shared" si="2"/>
        <v>20250617</v>
      </c>
    </row>
    <row r="169" spans="1:2" x14ac:dyDescent="0.2">
      <c r="B169" s="9" t="str">
        <f>TEXT(DATE(2025,1,1)+ROW()-1,"YYYYMMDD")</f>
        <v>20250618</v>
      </c>
    </row>
    <row r="170" spans="1:2" x14ac:dyDescent="0.2">
      <c r="B170" s="9" t="str">
        <f t="shared" ref="B170:B178" si="3">TEXT(DATE(2025,1,1)+ROW()-1,"YYYYMMDD")</f>
        <v>20250619</v>
      </c>
    </row>
    <row r="171" spans="1:2" x14ac:dyDescent="0.2">
      <c r="B171" s="9" t="str">
        <f t="shared" si="3"/>
        <v>20250620</v>
      </c>
    </row>
    <row r="172" spans="1:2" x14ac:dyDescent="0.2">
      <c r="B172" s="9" t="str">
        <f t="shared" si="3"/>
        <v>20250621</v>
      </c>
    </row>
    <row r="173" spans="1:2" x14ac:dyDescent="0.2">
      <c r="B173" s="9" t="str">
        <f t="shared" si="3"/>
        <v>20250622</v>
      </c>
    </row>
    <row r="174" spans="1:2" x14ac:dyDescent="0.2">
      <c r="B174" s="9" t="str">
        <f t="shared" si="3"/>
        <v>20250623</v>
      </c>
    </row>
    <row r="175" spans="1:2" x14ac:dyDescent="0.2">
      <c r="B175" s="9" t="str">
        <f t="shared" si="3"/>
        <v>20250624</v>
      </c>
    </row>
    <row r="176" spans="1:2" x14ac:dyDescent="0.2">
      <c r="B176" s="9" t="str">
        <f t="shared" si="3"/>
        <v>20250625</v>
      </c>
    </row>
    <row r="177" spans="2:2" x14ac:dyDescent="0.2">
      <c r="B177" s="9" t="str">
        <f t="shared" si="3"/>
        <v>20250626</v>
      </c>
    </row>
    <row r="178" spans="2:2" x14ac:dyDescent="0.2">
      <c r="B178" s="9" t="str">
        <f t="shared" si="3"/>
        <v>20250627</v>
      </c>
    </row>
  </sheetData>
  <autoFilter ref="A1:A599" xr:uid="{B847E0E0-1A62-7349-8213-270D90927E99}">
    <sortState xmlns:xlrd2="http://schemas.microsoft.com/office/spreadsheetml/2017/richdata2" ref="A2:A599">
      <sortCondition ref="A1:A599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5526-A6C2-1F48-9F08-1887F1E0464D}">
  <dimension ref="A3:D29"/>
  <sheetViews>
    <sheetView workbookViewId="0">
      <selection activeCell="A4" sqref="A4:C28"/>
    </sheetView>
  </sheetViews>
  <sheetFormatPr baseColWidth="10" defaultRowHeight="16" x14ac:dyDescent="0.2"/>
  <cols>
    <col min="1" max="1" width="22.33203125" bestFit="1" customWidth="1"/>
    <col min="2" max="2" width="16" bestFit="1" customWidth="1"/>
    <col min="3" max="3" width="19.6640625" bestFit="1" customWidth="1"/>
    <col min="4" max="4" width="10.5" bestFit="1" customWidth="1"/>
  </cols>
  <sheetData>
    <row r="3" spans="1:4" x14ac:dyDescent="0.2">
      <c r="A3" s="3" t="s">
        <v>37</v>
      </c>
      <c r="B3" s="3" t="s">
        <v>38</v>
      </c>
    </row>
    <row r="4" spans="1:4" x14ac:dyDescent="0.2">
      <c r="A4" s="3" t="s">
        <v>35</v>
      </c>
      <c r="B4" t="s">
        <v>12</v>
      </c>
      <c r="C4" t="s">
        <v>9</v>
      </c>
      <c r="D4" t="s">
        <v>36</v>
      </c>
    </row>
    <row r="5" spans="1:4" x14ac:dyDescent="0.2">
      <c r="A5" s="4">
        <v>1</v>
      </c>
      <c r="B5">
        <v>1</v>
      </c>
      <c r="C5">
        <v>1</v>
      </c>
      <c r="D5">
        <v>2</v>
      </c>
    </row>
    <row r="6" spans="1:4" x14ac:dyDescent="0.2">
      <c r="A6" s="4">
        <v>2</v>
      </c>
      <c r="C6">
        <v>3</v>
      </c>
      <c r="D6">
        <v>3</v>
      </c>
    </row>
    <row r="7" spans="1:4" x14ac:dyDescent="0.2">
      <c r="A7" s="4">
        <v>3</v>
      </c>
      <c r="C7">
        <v>6</v>
      </c>
      <c r="D7">
        <v>6</v>
      </c>
    </row>
    <row r="8" spans="1:4" x14ac:dyDescent="0.2">
      <c r="A8" s="4">
        <v>4</v>
      </c>
      <c r="B8">
        <v>1</v>
      </c>
      <c r="C8">
        <v>3</v>
      </c>
      <c r="D8">
        <v>4</v>
      </c>
    </row>
    <row r="9" spans="1:4" x14ac:dyDescent="0.2">
      <c r="A9" s="4">
        <v>5</v>
      </c>
      <c r="B9">
        <v>1</v>
      </c>
      <c r="C9">
        <v>4</v>
      </c>
      <c r="D9">
        <v>5</v>
      </c>
    </row>
    <row r="10" spans="1:4" x14ac:dyDescent="0.2">
      <c r="A10" s="4">
        <v>6</v>
      </c>
      <c r="B10">
        <v>1</v>
      </c>
      <c r="C10">
        <v>6</v>
      </c>
      <c r="D10">
        <v>7</v>
      </c>
    </row>
    <row r="11" spans="1:4" x14ac:dyDescent="0.2">
      <c r="A11" s="4">
        <v>7</v>
      </c>
      <c r="B11">
        <v>2</v>
      </c>
      <c r="C11">
        <v>4</v>
      </c>
      <c r="D11">
        <v>6</v>
      </c>
    </row>
    <row r="12" spans="1:4" x14ac:dyDescent="0.2">
      <c r="A12" s="4">
        <v>9</v>
      </c>
      <c r="C12">
        <v>3</v>
      </c>
      <c r="D12">
        <v>3</v>
      </c>
    </row>
    <row r="13" spans="1:4" x14ac:dyDescent="0.2">
      <c r="A13" s="4">
        <v>10</v>
      </c>
      <c r="C13">
        <v>4</v>
      </c>
      <c r="D13">
        <v>4</v>
      </c>
    </row>
    <row r="14" spans="1:4" x14ac:dyDescent="0.2">
      <c r="A14" s="4">
        <v>11</v>
      </c>
      <c r="C14">
        <v>12</v>
      </c>
      <c r="D14">
        <v>12</v>
      </c>
    </row>
    <row r="15" spans="1:4" x14ac:dyDescent="0.2">
      <c r="A15" s="4">
        <v>12</v>
      </c>
      <c r="B15">
        <v>3</v>
      </c>
      <c r="C15">
        <v>4</v>
      </c>
      <c r="D15">
        <v>7</v>
      </c>
    </row>
    <row r="16" spans="1:4" x14ac:dyDescent="0.2">
      <c r="A16" s="4">
        <v>13</v>
      </c>
      <c r="B16">
        <v>4</v>
      </c>
      <c r="C16">
        <v>9</v>
      </c>
      <c r="D16">
        <v>13</v>
      </c>
    </row>
    <row r="17" spans="1:4" x14ac:dyDescent="0.2">
      <c r="A17" s="4">
        <v>14</v>
      </c>
      <c r="C17">
        <v>9</v>
      </c>
      <c r="D17">
        <v>9</v>
      </c>
    </row>
    <row r="18" spans="1:4" x14ac:dyDescent="0.2">
      <c r="A18" s="4">
        <v>15</v>
      </c>
      <c r="C18">
        <v>13</v>
      </c>
      <c r="D18">
        <v>13</v>
      </c>
    </row>
    <row r="19" spans="1:4" x14ac:dyDescent="0.2">
      <c r="A19" s="4">
        <v>16</v>
      </c>
      <c r="B19">
        <v>1</v>
      </c>
      <c r="C19">
        <v>8</v>
      </c>
      <c r="D19">
        <v>9</v>
      </c>
    </row>
    <row r="20" spans="1:4" x14ac:dyDescent="0.2">
      <c r="A20" s="4">
        <v>17</v>
      </c>
      <c r="C20">
        <v>1</v>
      </c>
      <c r="D20">
        <v>1</v>
      </c>
    </row>
    <row r="21" spans="1:4" x14ac:dyDescent="0.2">
      <c r="A21" s="4">
        <v>18</v>
      </c>
      <c r="B21">
        <v>5</v>
      </c>
      <c r="C21">
        <v>8</v>
      </c>
      <c r="D21">
        <v>13</v>
      </c>
    </row>
    <row r="22" spans="1:4" x14ac:dyDescent="0.2">
      <c r="A22" s="4">
        <v>19</v>
      </c>
      <c r="C22">
        <v>7</v>
      </c>
      <c r="D22">
        <v>7</v>
      </c>
    </row>
    <row r="23" spans="1:4" x14ac:dyDescent="0.2">
      <c r="A23" s="4">
        <v>20</v>
      </c>
      <c r="B23">
        <v>2</v>
      </c>
      <c r="C23">
        <v>22</v>
      </c>
      <c r="D23">
        <v>24</v>
      </c>
    </row>
    <row r="24" spans="1:4" x14ac:dyDescent="0.2">
      <c r="A24" s="4">
        <v>21</v>
      </c>
      <c r="B24">
        <v>3</v>
      </c>
      <c r="C24">
        <v>28</v>
      </c>
      <c r="D24">
        <v>31</v>
      </c>
    </row>
    <row r="25" spans="1:4" x14ac:dyDescent="0.2">
      <c r="A25" s="4">
        <v>22</v>
      </c>
      <c r="B25">
        <v>14</v>
      </c>
      <c r="C25">
        <v>73</v>
      </c>
      <c r="D25">
        <v>87</v>
      </c>
    </row>
    <row r="26" spans="1:4" x14ac:dyDescent="0.2">
      <c r="A26" s="4">
        <v>23</v>
      </c>
      <c r="B26">
        <v>26</v>
      </c>
      <c r="C26">
        <v>131</v>
      </c>
      <c r="D26">
        <v>157</v>
      </c>
    </row>
    <row r="27" spans="1:4" x14ac:dyDescent="0.2">
      <c r="A27" s="4">
        <v>24</v>
      </c>
      <c r="B27">
        <v>26</v>
      </c>
      <c r="C27">
        <v>109</v>
      </c>
      <c r="D27">
        <v>135</v>
      </c>
    </row>
    <row r="28" spans="1:4" x14ac:dyDescent="0.2">
      <c r="A28" s="4">
        <v>25</v>
      </c>
      <c r="B28">
        <v>29</v>
      </c>
      <c r="C28">
        <v>95</v>
      </c>
      <c r="D28">
        <v>124</v>
      </c>
    </row>
    <row r="29" spans="1:4" x14ac:dyDescent="0.2">
      <c r="A29" s="4" t="s">
        <v>36</v>
      </c>
      <c r="B29">
        <v>119</v>
      </c>
      <c r="C29">
        <v>563</v>
      </c>
      <c r="D29">
        <v>682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9BF1-12CA-7749-9D23-0E5661015A58}">
  <dimension ref="A1:L599"/>
  <sheetViews>
    <sheetView tabSelected="1" workbookViewId="0">
      <selection activeCell="H16" sqref="H16"/>
    </sheetView>
  </sheetViews>
  <sheetFormatPr baseColWidth="10" defaultRowHeight="16" x14ac:dyDescent="0.2"/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</v>
      </c>
      <c r="I1" s="2" t="s">
        <v>34</v>
      </c>
    </row>
    <row r="2" spans="1:12" x14ac:dyDescent="0.2">
      <c r="A2">
        <v>20250102</v>
      </c>
      <c r="B2" t="s">
        <v>9</v>
      </c>
      <c r="C2" t="s">
        <v>15</v>
      </c>
      <c r="D2">
        <v>1</v>
      </c>
      <c r="E2">
        <v>1</v>
      </c>
      <c r="F2">
        <v>0</v>
      </c>
      <c r="G2">
        <v>0</v>
      </c>
      <c r="H2" s="1">
        <v>45659</v>
      </c>
      <c r="I2">
        <v>1</v>
      </c>
      <c r="L2">
        <v>20250101</v>
      </c>
    </row>
    <row r="3" spans="1:12" x14ac:dyDescent="0.2">
      <c r="A3">
        <v>20250104</v>
      </c>
      <c r="B3" t="s">
        <v>12</v>
      </c>
      <c r="C3" t="s">
        <v>8</v>
      </c>
      <c r="D3">
        <v>1</v>
      </c>
      <c r="E3">
        <v>1</v>
      </c>
      <c r="F3">
        <v>0</v>
      </c>
      <c r="G3">
        <v>0</v>
      </c>
      <c r="H3" s="1">
        <v>45661</v>
      </c>
      <c r="I3">
        <v>1</v>
      </c>
      <c r="L3" s="9" t="s">
        <v>44</v>
      </c>
    </row>
    <row r="4" spans="1:12" x14ac:dyDescent="0.2">
      <c r="A4">
        <v>20250105</v>
      </c>
      <c r="B4" t="s">
        <v>9</v>
      </c>
      <c r="C4" t="s">
        <v>15</v>
      </c>
      <c r="D4">
        <v>2</v>
      </c>
      <c r="E4">
        <v>1</v>
      </c>
      <c r="F4">
        <v>0</v>
      </c>
      <c r="G4">
        <v>0</v>
      </c>
      <c r="H4" s="1">
        <v>45662</v>
      </c>
      <c r="I4">
        <v>2</v>
      </c>
      <c r="L4" s="9" t="s">
        <v>45</v>
      </c>
    </row>
    <row r="5" spans="1:12" x14ac:dyDescent="0.2">
      <c r="A5">
        <v>20250107</v>
      </c>
      <c r="B5" t="s">
        <v>9</v>
      </c>
      <c r="C5" t="s">
        <v>18</v>
      </c>
      <c r="D5">
        <v>1</v>
      </c>
      <c r="E5">
        <v>2</v>
      </c>
      <c r="F5">
        <v>0</v>
      </c>
      <c r="G5">
        <v>0</v>
      </c>
      <c r="H5" s="1">
        <v>45664</v>
      </c>
      <c r="I5">
        <v>2</v>
      </c>
      <c r="L5" s="9" t="s">
        <v>46</v>
      </c>
    </row>
    <row r="6" spans="1:12" x14ac:dyDescent="0.2">
      <c r="A6">
        <v>20250113</v>
      </c>
      <c r="B6" t="s">
        <v>9</v>
      </c>
      <c r="C6" t="s">
        <v>8</v>
      </c>
      <c r="D6">
        <v>4</v>
      </c>
      <c r="E6">
        <v>17.25</v>
      </c>
      <c r="F6">
        <v>0</v>
      </c>
      <c r="G6">
        <v>0</v>
      </c>
      <c r="H6" s="1">
        <v>45670</v>
      </c>
      <c r="I6">
        <v>3</v>
      </c>
      <c r="L6" s="9" t="s">
        <v>47</v>
      </c>
    </row>
    <row r="7" spans="1:12" x14ac:dyDescent="0.2">
      <c r="A7">
        <v>20250118</v>
      </c>
      <c r="B7" t="s">
        <v>9</v>
      </c>
      <c r="C7" t="s">
        <v>22</v>
      </c>
      <c r="D7">
        <v>1</v>
      </c>
      <c r="E7">
        <v>80</v>
      </c>
      <c r="F7">
        <v>0</v>
      </c>
      <c r="G7">
        <v>0</v>
      </c>
      <c r="H7" s="1">
        <v>45675</v>
      </c>
      <c r="I7">
        <v>3</v>
      </c>
      <c r="L7" s="9" t="s">
        <v>48</v>
      </c>
    </row>
    <row r="8" spans="1:12" x14ac:dyDescent="0.2">
      <c r="A8">
        <v>20250118</v>
      </c>
      <c r="B8" t="s">
        <v>9</v>
      </c>
      <c r="C8" t="s">
        <v>24</v>
      </c>
      <c r="D8">
        <v>1</v>
      </c>
      <c r="E8">
        <v>27</v>
      </c>
      <c r="F8">
        <v>0</v>
      </c>
      <c r="G8">
        <v>0</v>
      </c>
      <c r="H8" s="1">
        <v>45675</v>
      </c>
      <c r="I8">
        <v>3</v>
      </c>
      <c r="L8" s="9" t="s">
        <v>49</v>
      </c>
    </row>
    <row r="9" spans="1:12" x14ac:dyDescent="0.2">
      <c r="A9">
        <v>20250119</v>
      </c>
      <c r="B9" t="s">
        <v>12</v>
      </c>
      <c r="C9" t="s">
        <v>8</v>
      </c>
      <c r="D9">
        <v>1</v>
      </c>
      <c r="E9">
        <v>26</v>
      </c>
      <c r="F9">
        <v>0</v>
      </c>
      <c r="G9">
        <v>0</v>
      </c>
      <c r="H9" s="1">
        <v>45676</v>
      </c>
      <c r="I9">
        <v>4</v>
      </c>
      <c r="L9" s="9" t="s">
        <v>50</v>
      </c>
    </row>
    <row r="10" spans="1:12" x14ac:dyDescent="0.2">
      <c r="A10">
        <v>20250120</v>
      </c>
      <c r="B10" t="s">
        <v>9</v>
      </c>
      <c r="C10" t="s">
        <v>13</v>
      </c>
      <c r="D10">
        <v>1</v>
      </c>
      <c r="E10">
        <v>1</v>
      </c>
      <c r="F10">
        <v>0</v>
      </c>
      <c r="G10">
        <v>0</v>
      </c>
      <c r="H10" s="1">
        <v>45677</v>
      </c>
      <c r="I10">
        <v>4</v>
      </c>
      <c r="L10" s="9" t="s">
        <v>51</v>
      </c>
    </row>
    <row r="11" spans="1:12" x14ac:dyDescent="0.2">
      <c r="A11">
        <v>20250123</v>
      </c>
      <c r="B11" t="s">
        <v>9</v>
      </c>
      <c r="C11" t="s">
        <v>15</v>
      </c>
      <c r="D11">
        <v>2</v>
      </c>
      <c r="E11">
        <v>1</v>
      </c>
      <c r="F11">
        <v>0</v>
      </c>
      <c r="G11">
        <v>0</v>
      </c>
      <c r="H11" s="1">
        <v>45680</v>
      </c>
      <c r="I11">
        <v>4</v>
      </c>
      <c r="L11" s="9" t="s">
        <v>52</v>
      </c>
    </row>
    <row r="12" spans="1:12" x14ac:dyDescent="0.2">
      <c r="A12">
        <v>20250126</v>
      </c>
      <c r="B12" t="s">
        <v>9</v>
      </c>
      <c r="C12" t="s">
        <v>8</v>
      </c>
      <c r="D12">
        <v>2</v>
      </c>
      <c r="E12">
        <v>1</v>
      </c>
      <c r="F12">
        <v>0</v>
      </c>
      <c r="G12">
        <v>0</v>
      </c>
      <c r="H12" s="1">
        <v>45683</v>
      </c>
      <c r="I12">
        <v>5</v>
      </c>
      <c r="L12" s="9" t="s">
        <v>53</v>
      </c>
    </row>
    <row r="13" spans="1:12" x14ac:dyDescent="0.2">
      <c r="A13">
        <v>20250127</v>
      </c>
      <c r="B13" t="s">
        <v>9</v>
      </c>
      <c r="C13" t="s">
        <v>8</v>
      </c>
      <c r="D13">
        <v>2</v>
      </c>
      <c r="E13">
        <v>1</v>
      </c>
      <c r="F13">
        <v>0</v>
      </c>
      <c r="G13">
        <v>0</v>
      </c>
      <c r="H13" s="1">
        <v>45684</v>
      </c>
      <c r="I13">
        <v>5</v>
      </c>
      <c r="L13" s="9" t="s">
        <v>54</v>
      </c>
    </row>
    <row r="14" spans="1:12" x14ac:dyDescent="0.2">
      <c r="A14">
        <v>20250131</v>
      </c>
      <c r="B14" t="s">
        <v>12</v>
      </c>
      <c r="C14" t="s">
        <v>22</v>
      </c>
      <c r="D14">
        <v>1</v>
      </c>
      <c r="E14">
        <v>8</v>
      </c>
      <c r="F14">
        <v>0</v>
      </c>
      <c r="G14">
        <v>0</v>
      </c>
      <c r="H14" s="1">
        <v>45688</v>
      </c>
      <c r="I14">
        <v>5</v>
      </c>
      <c r="L14" s="9" t="s">
        <v>55</v>
      </c>
    </row>
    <row r="15" spans="1:12" x14ac:dyDescent="0.2">
      <c r="A15">
        <v>20250203</v>
      </c>
      <c r="B15" t="s">
        <v>12</v>
      </c>
      <c r="C15" t="s">
        <v>8</v>
      </c>
      <c r="D15">
        <v>1</v>
      </c>
      <c r="E15">
        <v>1</v>
      </c>
      <c r="F15">
        <v>0</v>
      </c>
      <c r="G15">
        <v>0</v>
      </c>
      <c r="H15" s="1">
        <v>45691</v>
      </c>
      <c r="I15">
        <v>6</v>
      </c>
      <c r="L15" s="9" t="s">
        <v>56</v>
      </c>
    </row>
    <row r="16" spans="1:12" x14ac:dyDescent="0.2">
      <c r="A16">
        <v>20250204</v>
      </c>
      <c r="B16" t="s">
        <v>9</v>
      </c>
      <c r="C16" t="s">
        <v>8</v>
      </c>
      <c r="D16">
        <v>3</v>
      </c>
      <c r="E16">
        <v>64.6666666666666</v>
      </c>
      <c r="F16">
        <v>0</v>
      </c>
      <c r="G16">
        <v>0</v>
      </c>
      <c r="H16" s="1">
        <v>45692</v>
      </c>
      <c r="I16">
        <v>6</v>
      </c>
      <c r="L16" s="9" t="s">
        <v>57</v>
      </c>
    </row>
    <row r="17" spans="1:12" x14ac:dyDescent="0.2">
      <c r="A17">
        <v>20250205</v>
      </c>
      <c r="B17" t="s">
        <v>9</v>
      </c>
      <c r="C17" t="s">
        <v>24</v>
      </c>
      <c r="D17">
        <v>1</v>
      </c>
      <c r="E17">
        <v>28</v>
      </c>
      <c r="F17">
        <v>0</v>
      </c>
      <c r="G17">
        <v>0</v>
      </c>
      <c r="H17" s="1">
        <v>45693</v>
      </c>
      <c r="I17">
        <v>6</v>
      </c>
      <c r="L17" s="9" t="s">
        <v>58</v>
      </c>
    </row>
    <row r="18" spans="1:12" x14ac:dyDescent="0.2">
      <c r="A18">
        <v>20250206</v>
      </c>
      <c r="B18" t="s">
        <v>9</v>
      </c>
      <c r="C18" t="s">
        <v>13</v>
      </c>
      <c r="D18">
        <v>2</v>
      </c>
      <c r="E18">
        <v>1</v>
      </c>
      <c r="F18">
        <v>0</v>
      </c>
      <c r="G18">
        <v>0</v>
      </c>
      <c r="H18" s="1">
        <v>45694</v>
      </c>
      <c r="I18">
        <v>6</v>
      </c>
      <c r="L18" s="9" t="s">
        <v>59</v>
      </c>
    </row>
    <row r="19" spans="1:12" x14ac:dyDescent="0.2">
      <c r="A19">
        <v>20250210</v>
      </c>
      <c r="B19" t="s">
        <v>9</v>
      </c>
      <c r="C19" t="s">
        <v>8</v>
      </c>
      <c r="D19">
        <v>1</v>
      </c>
      <c r="E19">
        <v>40</v>
      </c>
      <c r="F19">
        <v>0</v>
      </c>
      <c r="G19">
        <v>0</v>
      </c>
      <c r="H19" s="1">
        <v>45698</v>
      </c>
      <c r="I19">
        <v>7</v>
      </c>
      <c r="L19" s="9" t="s">
        <v>60</v>
      </c>
    </row>
    <row r="20" spans="1:12" x14ac:dyDescent="0.2">
      <c r="A20">
        <v>20250213</v>
      </c>
      <c r="B20" t="s">
        <v>12</v>
      </c>
      <c r="C20" t="s">
        <v>8</v>
      </c>
      <c r="D20">
        <v>2</v>
      </c>
      <c r="E20">
        <v>1</v>
      </c>
      <c r="F20">
        <v>0</v>
      </c>
      <c r="G20">
        <v>0</v>
      </c>
      <c r="H20" s="1">
        <v>45701</v>
      </c>
      <c r="I20">
        <v>7</v>
      </c>
      <c r="L20" s="9" t="s">
        <v>61</v>
      </c>
    </row>
    <row r="21" spans="1:12" x14ac:dyDescent="0.2">
      <c r="A21">
        <v>20250213</v>
      </c>
      <c r="B21" t="s">
        <v>9</v>
      </c>
      <c r="C21" t="s">
        <v>8</v>
      </c>
      <c r="D21">
        <v>2</v>
      </c>
      <c r="E21">
        <v>2</v>
      </c>
      <c r="F21">
        <v>0</v>
      </c>
      <c r="G21">
        <v>0</v>
      </c>
      <c r="H21" s="1">
        <v>45701</v>
      </c>
      <c r="I21">
        <v>7</v>
      </c>
      <c r="L21" s="9" t="s">
        <v>62</v>
      </c>
    </row>
    <row r="22" spans="1:12" x14ac:dyDescent="0.2">
      <c r="A22">
        <v>20250214</v>
      </c>
      <c r="B22" t="s">
        <v>9</v>
      </c>
      <c r="C22" t="s">
        <v>8</v>
      </c>
      <c r="D22">
        <v>1</v>
      </c>
      <c r="E22">
        <v>42</v>
      </c>
      <c r="F22">
        <v>0</v>
      </c>
      <c r="G22">
        <v>0</v>
      </c>
      <c r="H22" s="1">
        <v>45702</v>
      </c>
      <c r="I22">
        <v>7</v>
      </c>
      <c r="L22" s="9" t="s">
        <v>63</v>
      </c>
    </row>
    <row r="23" spans="1:12" x14ac:dyDescent="0.2">
      <c r="A23">
        <v>20250226</v>
      </c>
      <c r="B23" t="s">
        <v>9</v>
      </c>
      <c r="C23" t="s">
        <v>13</v>
      </c>
      <c r="D23">
        <v>1</v>
      </c>
      <c r="E23">
        <v>1</v>
      </c>
      <c r="F23">
        <v>0</v>
      </c>
      <c r="G23">
        <v>0</v>
      </c>
      <c r="H23" s="1">
        <v>45714</v>
      </c>
      <c r="I23">
        <v>9</v>
      </c>
      <c r="L23" s="9" t="s">
        <v>64</v>
      </c>
    </row>
    <row r="24" spans="1:12" x14ac:dyDescent="0.2">
      <c r="A24">
        <v>20250226</v>
      </c>
      <c r="B24" t="s">
        <v>9</v>
      </c>
      <c r="C24" t="s">
        <v>8</v>
      </c>
      <c r="D24">
        <v>1</v>
      </c>
      <c r="E24">
        <v>37</v>
      </c>
      <c r="F24">
        <v>0</v>
      </c>
      <c r="G24">
        <v>0</v>
      </c>
      <c r="H24" s="1">
        <v>45714</v>
      </c>
      <c r="I24">
        <v>9</v>
      </c>
      <c r="L24" s="9" t="s">
        <v>65</v>
      </c>
    </row>
    <row r="25" spans="1:12" x14ac:dyDescent="0.2">
      <c r="A25">
        <v>20250301</v>
      </c>
      <c r="B25" t="s">
        <v>9</v>
      </c>
      <c r="C25" t="s">
        <v>8</v>
      </c>
      <c r="D25">
        <v>1</v>
      </c>
      <c r="E25">
        <v>2</v>
      </c>
      <c r="F25">
        <v>0</v>
      </c>
      <c r="G25">
        <v>0</v>
      </c>
      <c r="H25" s="1">
        <v>45717</v>
      </c>
      <c r="I25">
        <v>9</v>
      </c>
      <c r="L25" s="9" t="s">
        <v>66</v>
      </c>
    </row>
    <row r="26" spans="1:12" x14ac:dyDescent="0.2">
      <c r="A26">
        <v>20250304</v>
      </c>
      <c r="B26" t="s">
        <v>9</v>
      </c>
      <c r="C26" t="s">
        <v>13</v>
      </c>
      <c r="D26">
        <v>1</v>
      </c>
      <c r="E26">
        <v>1</v>
      </c>
      <c r="F26">
        <v>0</v>
      </c>
      <c r="G26">
        <v>0</v>
      </c>
      <c r="H26" s="1">
        <v>45720</v>
      </c>
      <c r="I26">
        <v>10</v>
      </c>
      <c r="L26" s="9" t="s">
        <v>67</v>
      </c>
    </row>
    <row r="27" spans="1:12" x14ac:dyDescent="0.2">
      <c r="A27">
        <v>20250307</v>
      </c>
      <c r="B27" t="s">
        <v>9</v>
      </c>
      <c r="C27" t="s">
        <v>8</v>
      </c>
      <c r="D27">
        <v>1</v>
      </c>
      <c r="E27">
        <v>73</v>
      </c>
      <c r="F27">
        <v>0</v>
      </c>
      <c r="G27">
        <v>0</v>
      </c>
      <c r="H27" s="1">
        <v>45723</v>
      </c>
      <c r="I27">
        <v>10</v>
      </c>
      <c r="L27" s="9" t="s">
        <v>68</v>
      </c>
    </row>
    <row r="28" spans="1:12" x14ac:dyDescent="0.2">
      <c r="A28">
        <v>20250308</v>
      </c>
      <c r="B28" t="s">
        <v>9</v>
      </c>
      <c r="C28" t="s">
        <v>8</v>
      </c>
      <c r="D28">
        <v>1</v>
      </c>
      <c r="E28">
        <v>35</v>
      </c>
      <c r="F28">
        <v>0</v>
      </c>
      <c r="G28">
        <v>0</v>
      </c>
      <c r="H28" s="1">
        <v>45724</v>
      </c>
      <c r="I28">
        <v>10</v>
      </c>
      <c r="L28" s="9" t="s">
        <v>69</v>
      </c>
    </row>
    <row r="29" spans="1:12" x14ac:dyDescent="0.2">
      <c r="A29">
        <v>20250308</v>
      </c>
      <c r="B29" t="s">
        <v>9</v>
      </c>
      <c r="C29" t="s">
        <v>13</v>
      </c>
      <c r="D29">
        <v>1</v>
      </c>
      <c r="E29">
        <v>2</v>
      </c>
      <c r="F29">
        <v>0</v>
      </c>
      <c r="G29">
        <v>0</v>
      </c>
      <c r="H29" s="1">
        <v>45724</v>
      </c>
      <c r="I29">
        <v>10</v>
      </c>
      <c r="L29" s="9" t="s">
        <v>70</v>
      </c>
    </row>
    <row r="30" spans="1:12" x14ac:dyDescent="0.2">
      <c r="A30">
        <v>20250310</v>
      </c>
      <c r="B30" t="s">
        <v>9</v>
      </c>
      <c r="C30" t="s">
        <v>13</v>
      </c>
      <c r="D30">
        <v>1</v>
      </c>
      <c r="E30">
        <v>1</v>
      </c>
      <c r="F30">
        <v>0</v>
      </c>
      <c r="G30">
        <v>0</v>
      </c>
      <c r="H30" s="1">
        <v>45726</v>
      </c>
      <c r="I30">
        <v>11</v>
      </c>
      <c r="L30" s="9" t="s">
        <v>71</v>
      </c>
    </row>
    <row r="31" spans="1:12" x14ac:dyDescent="0.2">
      <c r="A31">
        <v>20250314</v>
      </c>
      <c r="B31" t="s">
        <v>9</v>
      </c>
      <c r="C31" t="s">
        <v>13</v>
      </c>
      <c r="D31">
        <v>6</v>
      </c>
      <c r="E31">
        <v>1</v>
      </c>
      <c r="F31">
        <v>0</v>
      </c>
      <c r="G31">
        <v>0</v>
      </c>
      <c r="H31" s="1">
        <v>45730</v>
      </c>
      <c r="I31">
        <v>11</v>
      </c>
      <c r="L31" s="9" t="s">
        <v>72</v>
      </c>
    </row>
    <row r="32" spans="1:12" x14ac:dyDescent="0.2">
      <c r="A32">
        <v>20250315</v>
      </c>
      <c r="B32" t="s">
        <v>9</v>
      </c>
      <c r="C32" t="s">
        <v>18</v>
      </c>
      <c r="D32">
        <v>4</v>
      </c>
      <c r="E32">
        <v>2</v>
      </c>
      <c r="F32">
        <v>0</v>
      </c>
      <c r="G32">
        <v>0</v>
      </c>
      <c r="H32" s="1">
        <v>45731</v>
      </c>
      <c r="I32">
        <v>11</v>
      </c>
      <c r="L32" s="9" t="s">
        <v>73</v>
      </c>
    </row>
    <row r="33" spans="1:12" x14ac:dyDescent="0.2">
      <c r="A33">
        <v>20250315</v>
      </c>
      <c r="B33" t="s">
        <v>9</v>
      </c>
      <c r="C33" t="s">
        <v>13</v>
      </c>
      <c r="D33">
        <v>1</v>
      </c>
      <c r="E33">
        <v>1</v>
      </c>
      <c r="F33">
        <v>0</v>
      </c>
      <c r="G33">
        <v>0</v>
      </c>
      <c r="H33" s="1">
        <v>45731</v>
      </c>
      <c r="I33">
        <v>11</v>
      </c>
      <c r="L33" s="9" t="s">
        <v>74</v>
      </c>
    </row>
    <row r="34" spans="1:12" x14ac:dyDescent="0.2">
      <c r="A34">
        <v>20250316</v>
      </c>
      <c r="B34" t="s">
        <v>9</v>
      </c>
      <c r="C34" t="s">
        <v>13</v>
      </c>
      <c r="D34">
        <v>2</v>
      </c>
      <c r="E34">
        <v>1</v>
      </c>
      <c r="F34">
        <v>0</v>
      </c>
      <c r="G34">
        <v>0</v>
      </c>
      <c r="H34" s="1">
        <v>45732</v>
      </c>
      <c r="I34">
        <v>12</v>
      </c>
      <c r="L34" s="9" t="s">
        <v>75</v>
      </c>
    </row>
    <row r="35" spans="1:12" x14ac:dyDescent="0.2">
      <c r="A35">
        <v>20250318</v>
      </c>
      <c r="B35" t="s">
        <v>9</v>
      </c>
      <c r="C35" t="s">
        <v>8</v>
      </c>
      <c r="D35">
        <v>2</v>
      </c>
      <c r="E35">
        <v>6</v>
      </c>
      <c r="F35">
        <v>0</v>
      </c>
      <c r="G35">
        <v>0</v>
      </c>
      <c r="H35" s="1">
        <v>45734</v>
      </c>
      <c r="I35">
        <v>12</v>
      </c>
      <c r="L35" s="9" t="s">
        <v>76</v>
      </c>
    </row>
    <row r="36" spans="1:12" x14ac:dyDescent="0.2">
      <c r="A36">
        <v>20250319</v>
      </c>
      <c r="B36" t="s">
        <v>12</v>
      </c>
      <c r="C36" t="s">
        <v>8</v>
      </c>
      <c r="D36">
        <v>3</v>
      </c>
      <c r="E36">
        <v>2</v>
      </c>
      <c r="F36">
        <v>0</v>
      </c>
      <c r="G36">
        <v>0</v>
      </c>
      <c r="H36" s="1">
        <v>45735</v>
      </c>
      <c r="I36">
        <v>12</v>
      </c>
      <c r="L36" s="9" t="s">
        <v>77</v>
      </c>
    </row>
    <row r="37" spans="1:12" x14ac:dyDescent="0.2">
      <c r="A37">
        <v>20250323</v>
      </c>
      <c r="B37" t="s">
        <v>9</v>
      </c>
      <c r="C37" t="s">
        <v>28</v>
      </c>
      <c r="D37">
        <v>1</v>
      </c>
      <c r="E37">
        <v>38</v>
      </c>
      <c r="F37">
        <v>0</v>
      </c>
      <c r="G37">
        <v>0</v>
      </c>
      <c r="H37" s="1">
        <v>45739</v>
      </c>
      <c r="I37">
        <v>13</v>
      </c>
      <c r="L37" s="9" t="s">
        <v>78</v>
      </c>
    </row>
    <row r="38" spans="1:12" x14ac:dyDescent="0.2">
      <c r="A38">
        <v>20250324</v>
      </c>
      <c r="B38" t="s">
        <v>9</v>
      </c>
      <c r="C38" t="s">
        <v>13</v>
      </c>
      <c r="D38">
        <v>3</v>
      </c>
      <c r="E38">
        <v>2</v>
      </c>
      <c r="F38">
        <v>0</v>
      </c>
      <c r="G38">
        <v>1</v>
      </c>
      <c r="H38" s="1">
        <v>45740</v>
      </c>
      <c r="I38">
        <v>13</v>
      </c>
      <c r="L38" s="9" t="s">
        <v>79</v>
      </c>
    </row>
    <row r="39" spans="1:12" x14ac:dyDescent="0.2">
      <c r="A39">
        <v>20250328</v>
      </c>
      <c r="B39" t="s">
        <v>12</v>
      </c>
      <c r="C39" t="s">
        <v>20</v>
      </c>
      <c r="D39">
        <v>4</v>
      </c>
      <c r="E39">
        <v>36.25</v>
      </c>
      <c r="F39">
        <v>0</v>
      </c>
      <c r="G39">
        <v>0</v>
      </c>
      <c r="H39" s="1">
        <v>45744</v>
      </c>
      <c r="I39">
        <v>13</v>
      </c>
      <c r="L39" s="9" t="s">
        <v>80</v>
      </c>
    </row>
    <row r="40" spans="1:12" x14ac:dyDescent="0.2">
      <c r="A40">
        <v>20250328</v>
      </c>
      <c r="B40" t="s">
        <v>9</v>
      </c>
      <c r="C40" t="s">
        <v>13</v>
      </c>
      <c r="D40">
        <v>2</v>
      </c>
      <c r="E40">
        <v>18.5</v>
      </c>
      <c r="F40">
        <v>0</v>
      </c>
      <c r="G40">
        <v>0</v>
      </c>
      <c r="H40" s="1">
        <v>45744</v>
      </c>
      <c r="I40">
        <v>13</v>
      </c>
      <c r="L40" s="9" t="s">
        <v>81</v>
      </c>
    </row>
    <row r="41" spans="1:12" x14ac:dyDescent="0.2">
      <c r="A41">
        <v>20250328</v>
      </c>
      <c r="B41" t="s">
        <v>9</v>
      </c>
      <c r="C41" t="s">
        <v>8</v>
      </c>
      <c r="D41">
        <v>1</v>
      </c>
      <c r="E41">
        <v>39</v>
      </c>
      <c r="F41">
        <v>0</v>
      </c>
      <c r="G41">
        <v>0</v>
      </c>
      <c r="H41" s="1">
        <v>45744</v>
      </c>
      <c r="I41">
        <v>13</v>
      </c>
      <c r="L41" s="9" t="s">
        <v>82</v>
      </c>
    </row>
    <row r="42" spans="1:12" x14ac:dyDescent="0.2">
      <c r="A42">
        <v>20250329</v>
      </c>
      <c r="B42" t="s">
        <v>9</v>
      </c>
      <c r="C42" t="s">
        <v>13</v>
      </c>
      <c r="D42">
        <v>1</v>
      </c>
      <c r="E42">
        <v>1</v>
      </c>
      <c r="F42">
        <v>0</v>
      </c>
      <c r="G42">
        <v>0</v>
      </c>
      <c r="H42" s="1">
        <v>45745</v>
      </c>
      <c r="I42">
        <v>13</v>
      </c>
      <c r="L42" s="9" t="s">
        <v>83</v>
      </c>
    </row>
    <row r="43" spans="1:12" x14ac:dyDescent="0.2">
      <c r="A43">
        <v>20250329</v>
      </c>
      <c r="B43" t="s">
        <v>9</v>
      </c>
      <c r="C43" t="s">
        <v>15</v>
      </c>
      <c r="D43">
        <v>1</v>
      </c>
      <c r="E43">
        <v>2</v>
      </c>
      <c r="F43">
        <v>0</v>
      </c>
      <c r="G43">
        <v>0</v>
      </c>
      <c r="H43" s="1">
        <v>45745</v>
      </c>
      <c r="I43">
        <v>13</v>
      </c>
      <c r="L43" s="9" t="s">
        <v>84</v>
      </c>
    </row>
    <row r="44" spans="1:12" x14ac:dyDescent="0.2">
      <c r="A44">
        <v>20250401</v>
      </c>
      <c r="B44" t="s">
        <v>9</v>
      </c>
      <c r="C44" t="s">
        <v>15</v>
      </c>
      <c r="D44">
        <v>2</v>
      </c>
      <c r="E44">
        <v>1</v>
      </c>
      <c r="F44">
        <v>0</v>
      </c>
      <c r="G44">
        <v>0</v>
      </c>
      <c r="H44" s="1">
        <v>45748</v>
      </c>
      <c r="I44">
        <v>14</v>
      </c>
      <c r="L44" s="9" t="s">
        <v>85</v>
      </c>
    </row>
    <row r="45" spans="1:12" x14ac:dyDescent="0.2">
      <c r="A45">
        <v>20250403</v>
      </c>
      <c r="B45" t="s">
        <v>9</v>
      </c>
      <c r="C45" t="s">
        <v>13</v>
      </c>
      <c r="D45">
        <v>3</v>
      </c>
      <c r="E45">
        <v>11.3333333333333</v>
      </c>
      <c r="F45">
        <v>0</v>
      </c>
      <c r="G45">
        <v>0</v>
      </c>
      <c r="H45" s="1">
        <v>45750</v>
      </c>
      <c r="I45">
        <v>14</v>
      </c>
      <c r="L45" s="9" t="s">
        <v>86</v>
      </c>
    </row>
    <row r="46" spans="1:12" x14ac:dyDescent="0.2">
      <c r="A46">
        <v>20250404</v>
      </c>
      <c r="B46" t="s">
        <v>9</v>
      </c>
      <c r="C46" t="s">
        <v>13</v>
      </c>
      <c r="D46">
        <v>1</v>
      </c>
      <c r="E46">
        <v>80</v>
      </c>
      <c r="F46">
        <v>0</v>
      </c>
      <c r="G46">
        <v>0</v>
      </c>
      <c r="H46" s="1">
        <v>45751</v>
      </c>
      <c r="I46">
        <v>14</v>
      </c>
      <c r="L46" s="9" t="s">
        <v>87</v>
      </c>
    </row>
    <row r="47" spans="1:12" x14ac:dyDescent="0.2">
      <c r="A47">
        <v>20250405</v>
      </c>
      <c r="B47" t="s">
        <v>9</v>
      </c>
      <c r="C47" t="s">
        <v>13</v>
      </c>
      <c r="D47">
        <v>3</v>
      </c>
      <c r="E47">
        <v>50.6666666666666</v>
      </c>
      <c r="F47">
        <v>0</v>
      </c>
      <c r="G47">
        <v>0</v>
      </c>
      <c r="H47" s="1">
        <v>45752</v>
      </c>
      <c r="I47">
        <v>14</v>
      </c>
      <c r="L47" s="9" t="s">
        <v>88</v>
      </c>
    </row>
    <row r="48" spans="1:12" x14ac:dyDescent="0.2">
      <c r="A48">
        <v>20250406</v>
      </c>
      <c r="B48" t="s">
        <v>9</v>
      </c>
      <c r="C48" t="s">
        <v>13</v>
      </c>
      <c r="D48">
        <v>2</v>
      </c>
      <c r="E48">
        <v>14</v>
      </c>
      <c r="F48">
        <v>0</v>
      </c>
      <c r="G48">
        <v>0</v>
      </c>
      <c r="H48" s="1">
        <v>45753</v>
      </c>
      <c r="I48">
        <v>15</v>
      </c>
      <c r="L48" s="9" t="s">
        <v>89</v>
      </c>
    </row>
    <row r="49" spans="1:12" x14ac:dyDescent="0.2">
      <c r="A49">
        <v>20250406</v>
      </c>
      <c r="B49" t="s">
        <v>9</v>
      </c>
      <c r="C49" t="s">
        <v>15</v>
      </c>
      <c r="D49">
        <v>2</v>
      </c>
      <c r="E49">
        <v>1</v>
      </c>
      <c r="F49">
        <v>0</v>
      </c>
      <c r="G49">
        <v>0</v>
      </c>
      <c r="H49" s="1">
        <v>45753</v>
      </c>
      <c r="I49">
        <v>15</v>
      </c>
      <c r="L49" s="9" t="s">
        <v>90</v>
      </c>
    </row>
    <row r="50" spans="1:12" x14ac:dyDescent="0.2">
      <c r="A50">
        <v>20250406</v>
      </c>
      <c r="B50" t="s">
        <v>9</v>
      </c>
      <c r="C50" t="s">
        <v>8</v>
      </c>
      <c r="D50">
        <v>2</v>
      </c>
      <c r="E50">
        <v>1</v>
      </c>
      <c r="F50">
        <v>0</v>
      </c>
      <c r="G50">
        <v>0</v>
      </c>
      <c r="H50" s="1">
        <v>45753</v>
      </c>
      <c r="I50">
        <v>15</v>
      </c>
      <c r="L50" s="9" t="s">
        <v>91</v>
      </c>
    </row>
    <row r="51" spans="1:12" x14ac:dyDescent="0.2">
      <c r="A51">
        <v>20250407</v>
      </c>
      <c r="B51" t="s">
        <v>9</v>
      </c>
      <c r="C51" t="s">
        <v>13</v>
      </c>
      <c r="D51">
        <v>3</v>
      </c>
      <c r="E51">
        <v>52</v>
      </c>
      <c r="F51">
        <v>0</v>
      </c>
      <c r="G51">
        <v>0</v>
      </c>
      <c r="H51" s="1">
        <v>45754</v>
      </c>
      <c r="I51">
        <v>15</v>
      </c>
      <c r="L51" s="9" t="s">
        <v>92</v>
      </c>
    </row>
    <row r="52" spans="1:12" x14ac:dyDescent="0.2">
      <c r="A52">
        <v>20250409</v>
      </c>
      <c r="B52" t="s">
        <v>9</v>
      </c>
      <c r="C52" t="s">
        <v>13</v>
      </c>
      <c r="D52">
        <v>1</v>
      </c>
      <c r="E52">
        <v>17</v>
      </c>
      <c r="F52">
        <v>0</v>
      </c>
      <c r="G52">
        <v>0</v>
      </c>
      <c r="H52" s="1">
        <v>45756</v>
      </c>
      <c r="I52">
        <v>15</v>
      </c>
      <c r="L52" s="9" t="s">
        <v>93</v>
      </c>
    </row>
    <row r="53" spans="1:12" x14ac:dyDescent="0.2">
      <c r="A53">
        <v>20250412</v>
      </c>
      <c r="B53" t="s">
        <v>9</v>
      </c>
      <c r="C53" t="s">
        <v>13</v>
      </c>
      <c r="D53">
        <v>3</v>
      </c>
      <c r="E53">
        <v>1</v>
      </c>
      <c r="F53">
        <v>0</v>
      </c>
      <c r="G53">
        <v>0</v>
      </c>
      <c r="H53" s="1">
        <v>45759</v>
      </c>
      <c r="I53">
        <v>15</v>
      </c>
      <c r="L53" s="9" t="s">
        <v>94</v>
      </c>
    </row>
    <row r="54" spans="1:12" x14ac:dyDescent="0.2">
      <c r="A54">
        <v>20250414</v>
      </c>
      <c r="B54" t="s">
        <v>12</v>
      </c>
      <c r="C54" t="s">
        <v>15</v>
      </c>
      <c r="D54">
        <v>1</v>
      </c>
      <c r="E54">
        <v>1</v>
      </c>
      <c r="F54">
        <v>0</v>
      </c>
      <c r="G54">
        <v>0</v>
      </c>
      <c r="H54" s="1">
        <v>45761</v>
      </c>
      <c r="I54">
        <v>16</v>
      </c>
      <c r="L54" s="9" t="s">
        <v>95</v>
      </c>
    </row>
    <row r="55" spans="1:12" x14ac:dyDescent="0.2">
      <c r="A55">
        <v>20250415</v>
      </c>
      <c r="B55" t="s">
        <v>9</v>
      </c>
      <c r="C55" t="s">
        <v>8</v>
      </c>
      <c r="D55">
        <v>3</v>
      </c>
      <c r="E55">
        <v>2</v>
      </c>
      <c r="F55">
        <v>0</v>
      </c>
      <c r="G55">
        <v>0</v>
      </c>
      <c r="H55" s="1">
        <v>45762</v>
      </c>
      <c r="I55">
        <v>16</v>
      </c>
      <c r="L55" s="9" t="s">
        <v>96</v>
      </c>
    </row>
    <row r="56" spans="1:12" x14ac:dyDescent="0.2">
      <c r="A56">
        <v>20250416</v>
      </c>
      <c r="B56" t="s">
        <v>9</v>
      </c>
      <c r="C56" t="s">
        <v>8</v>
      </c>
      <c r="D56">
        <v>4</v>
      </c>
      <c r="E56">
        <v>1</v>
      </c>
      <c r="F56">
        <v>0</v>
      </c>
      <c r="G56">
        <v>0</v>
      </c>
      <c r="H56" s="1">
        <v>45763</v>
      </c>
      <c r="I56">
        <v>16</v>
      </c>
      <c r="L56" s="9" t="s">
        <v>97</v>
      </c>
    </row>
    <row r="57" spans="1:12" x14ac:dyDescent="0.2">
      <c r="A57">
        <v>20250417</v>
      </c>
      <c r="B57" t="s">
        <v>9</v>
      </c>
      <c r="C57" t="s">
        <v>8</v>
      </c>
      <c r="D57">
        <v>1</v>
      </c>
      <c r="E57">
        <v>1</v>
      </c>
      <c r="F57">
        <v>0</v>
      </c>
      <c r="G57">
        <v>0</v>
      </c>
      <c r="H57" s="1">
        <v>45764</v>
      </c>
      <c r="I57">
        <v>16</v>
      </c>
      <c r="L57" s="9" t="s">
        <v>98</v>
      </c>
    </row>
    <row r="58" spans="1:12" x14ac:dyDescent="0.2">
      <c r="A58">
        <v>20250423</v>
      </c>
      <c r="B58" t="s">
        <v>9</v>
      </c>
      <c r="C58" t="s">
        <v>13</v>
      </c>
      <c r="D58">
        <v>1</v>
      </c>
      <c r="E58">
        <v>84</v>
      </c>
      <c r="F58">
        <v>0</v>
      </c>
      <c r="G58">
        <v>0</v>
      </c>
      <c r="H58" s="1">
        <v>45770</v>
      </c>
      <c r="I58">
        <v>17</v>
      </c>
      <c r="L58" s="9" t="s">
        <v>99</v>
      </c>
    </row>
    <row r="59" spans="1:12" x14ac:dyDescent="0.2">
      <c r="A59">
        <v>20250428</v>
      </c>
      <c r="B59" t="s">
        <v>9</v>
      </c>
      <c r="C59" t="s">
        <v>8</v>
      </c>
      <c r="D59">
        <v>1</v>
      </c>
      <c r="E59">
        <v>21</v>
      </c>
      <c r="F59">
        <v>0</v>
      </c>
      <c r="G59">
        <v>0</v>
      </c>
      <c r="H59" s="1">
        <v>45775</v>
      </c>
      <c r="I59">
        <v>18</v>
      </c>
      <c r="L59" s="9" t="s">
        <v>100</v>
      </c>
    </row>
    <row r="60" spans="1:12" x14ac:dyDescent="0.2">
      <c r="A60">
        <v>20250428</v>
      </c>
      <c r="B60" t="s">
        <v>12</v>
      </c>
      <c r="C60" t="s">
        <v>20</v>
      </c>
      <c r="D60">
        <v>1</v>
      </c>
      <c r="E60">
        <v>15</v>
      </c>
      <c r="F60">
        <v>0</v>
      </c>
      <c r="G60">
        <v>0</v>
      </c>
      <c r="H60" s="1">
        <v>45775</v>
      </c>
      <c r="I60">
        <v>18</v>
      </c>
      <c r="L60" s="9" t="s">
        <v>101</v>
      </c>
    </row>
    <row r="61" spans="1:12" x14ac:dyDescent="0.2">
      <c r="A61">
        <v>20250428</v>
      </c>
      <c r="B61" t="s">
        <v>12</v>
      </c>
      <c r="C61" t="s">
        <v>8</v>
      </c>
      <c r="D61">
        <v>1</v>
      </c>
      <c r="E61">
        <v>37</v>
      </c>
      <c r="F61">
        <v>0</v>
      </c>
      <c r="G61">
        <v>0</v>
      </c>
      <c r="H61" s="1">
        <v>45775</v>
      </c>
      <c r="I61">
        <v>18</v>
      </c>
      <c r="L61" s="9" t="s">
        <v>102</v>
      </c>
    </row>
    <row r="62" spans="1:12" x14ac:dyDescent="0.2">
      <c r="A62">
        <v>20250429</v>
      </c>
      <c r="B62" t="s">
        <v>9</v>
      </c>
      <c r="C62" t="s">
        <v>15</v>
      </c>
      <c r="D62">
        <v>1</v>
      </c>
      <c r="E62">
        <v>2</v>
      </c>
      <c r="F62">
        <v>0</v>
      </c>
      <c r="G62">
        <v>0</v>
      </c>
      <c r="H62" s="1">
        <v>45776</v>
      </c>
      <c r="I62">
        <v>18</v>
      </c>
      <c r="L62" s="9" t="s">
        <v>103</v>
      </c>
    </row>
    <row r="63" spans="1:12" x14ac:dyDescent="0.2">
      <c r="A63">
        <v>20250430</v>
      </c>
      <c r="B63" t="s">
        <v>12</v>
      </c>
      <c r="C63" t="s">
        <v>15</v>
      </c>
      <c r="D63">
        <v>2</v>
      </c>
      <c r="E63">
        <v>1</v>
      </c>
      <c r="F63">
        <v>0</v>
      </c>
      <c r="G63">
        <v>0</v>
      </c>
      <c r="H63" s="1">
        <v>45777</v>
      </c>
      <c r="I63">
        <v>18</v>
      </c>
      <c r="L63" s="9" t="s">
        <v>104</v>
      </c>
    </row>
    <row r="64" spans="1:12" x14ac:dyDescent="0.2">
      <c r="A64">
        <v>20250430</v>
      </c>
      <c r="B64" t="s">
        <v>9</v>
      </c>
      <c r="C64" t="s">
        <v>15</v>
      </c>
      <c r="D64">
        <v>1</v>
      </c>
      <c r="E64">
        <v>2</v>
      </c>
      <c r="F64">
        <v>0</v>
      </c>
      <c r="G64">
        <v>0</v>
      </c>
      <c r="H64" s="1">
        <v>45777</v>
      </c>
      <c r="I64">
        <v>18</v>
      </c>
      <c r="L64" s="9" t="s">
        <v>105</v>
      </c>
    </row>
    <row r="65" spans="1:12" x14ac:dyDescent="0.2">
      <c r="A65">
        <v>20250501</v>
      </c>
      <c r="B65" t="s">
        <v>9</v>
      </c>
      <c r="C65" t="s">
        <v>13</v>
      </c>
      <c r="D65">
        <v>1</v>
      </c>
      <c r="E65">
        <v>45</v>
      </c>
      <c r="F65">
        <v>0</v>
      </c>
      <c r="G65">
        <v>0</v>
      </c>
      <c r="H65" s="1">
        <v>45778</v>
      </c>
      <c r="I65">
        <v>18</v>
      </c>
      <c r="L65" s="9" t="s">
        <v>106</v>
      </c>
    </row>
    <row r="66" spans="1:12" x14ac:dyDescent="0.2">
      <c r="A66">
        <v>20250502</v>
      </c>
      <c r="B66" t="s">
        <v>9</v>
      </c>
      <c r="C66" t="s">
        <v>13</v>
      </c>
      <c r="D66">
        <v>2</v>
      </c>
      <c r="E66">
        <v>48.5</v>
      </c>
      <c r="F66">
        <v>0</v>
      </c>
      <c r="G66">
        <v>0</v>
      </c>
      <c r="H66" s="1">
        <v>45779</v>
      </c>
      <c r="I66">
        <v>18</v>
      </c>
      <c r="L66" s="9" t="s">
        <v>107</v>
      </c>
    </row>
    <row r="67" spans="1:12" x14ac:dyDescent="0.2">
      <c r="A67">
        <v>20250503</v>
      </c>
      <c r="B67" t="s">
        <v>9</v>
      </c>
      <c r="C67" t="s">
        <v>13</v>
      </c>
      <c r="D67">
        <v>2</v>
      </c>
      <c r="E67">
        <v>2</v>
      </c>
      <c r="F67">
        <v>0</v>
      </c>
      <c r="G67">
        <v>0</v>
      </c>
      <c r="H67" s="1">
        <v>45780</v>
      </c>
      <c r="I67">
        <v>18</v>
      </c>
      <c r="L67" s="9" t="s">
        <v>108</v>
      </c>
    </row>
    <row r="68" spans="1:12" x14ac:dyDescent="0.2">
      <c r="A68">
        <v>20250503</v>
      </c>
      <c r="B68" t="s">
        <v>12</v>
      </c>
      <c r="C68" t="s">
        <v>13</v>
      </c>
      <c r="D68">
        <v>1</v>
      </c>
      <c r="E68">
        <v>78</v>
      </c>
      <c r="F68">
        <v>0</v>
      </c>
      <c r="G68">
        <v>0</v>
      </c>
      <c r="H68" s="1">
        <v>45780</v>
      </c>
      <c r="I68">
        <v>18</v>
      </c>
      <c r="L68" s="9" t="s">
        <v>109</v>
      </c>
    </row>
    <row r="69" spans="1:12" x14ac:dyDescent="0.2">
      <c r="A69">
        <v>20250506</v>
      </c>
      <c r="B69" t="s">
        <v>9</v>
      </c>
      <c r="C69" t="s">
        <v>18</v>
      </c>
      <c r="D69">
        <v>1</v>
      </c>
      <c r="E69">
        <v>1</v>
      </c>
      <c r="F69">
        <v>0</v>
      </c>
      <c r="G69">
        <v>0</v>
      </c>
      <c r="H69" s="1">
        <v>45783</v>
      </c>
      <c r="I69">
        <v>19</v>
      </c>
      <c r="L69" s="9" t="s">
        <v>110</v>
      </c>
    </row>
    <row r="70" spans="1:12" x14ac:dyDescent="0.2">
      <c r="A70">
        <v>20250507</v>
      </c>
      <c r="B70" t="s">
        <v>9</v>
      </c>
      <c r="C70" t="s">
        <v>8</v>
      </c>
      <c r="D70">
        <v>2</v>
      </c>
      <c r="E70">
        <v>1</v>
      </c>
      <c r="F70">
        <v>0</v>
      </c>
      <c r="G70">
        <v>0</v>
      </c>
      <c r="H70" s="1">
        <v>45784</v>
      </c>
      <c r="I70">
        <v>19</v>
      </c>
      <c r="L70" s="9" t="s">
        <v>111</v>
      </c>
    </row>
    <row r="71" spans="1:12" x14ac:dyDescent="0.2">
      <c r="A71">
        <v>20250508</v>
      </c>
      <c r="B71" t="s">
        <v>9</v>
      </c>
      <c r="C71" t="s">
        <v>8</v>
      </c>
      <c r="D71">
        <v>1</v>
      </c>
      <c r="E71">
        <v>79</v>
      </c>
      <c r="F71">
        <v>0</v>
      </c>
      <c r="G71">
        <v>0</v>
      </c>
      <c r="H71" s="1">
        <v>45785</v>
      </c>
      <c r="I71">
        <v>19</v>
      </c>
      <c r="L71" s="9" t="s">
        <v>112</v>
      </c>
    </row>
    <row r="72" spans="1:12" x14ac:dyDescent="0.2">
      <c r="A72">
        <v>20250510</v>
      </c>
      <c r="B72" t="s">
        <v>9</v>
      </c>
      <c r="C72" t="s">
        <v>8</v>
      </c>
      <c r="D72">
        <v>3</v>
      </c>
      <c r="E72">
        <v>48.6666666666666</v>
      </c>
      <c r="F72">
        <v>0</v>
      </c>
      <c r="G72">
        <v>0</v>
      </c>
      <c r="H72" s="1">
        <v>45787</v>
      </c>
      <c r="I72">
        <v>19</v>
      </c>
      <c r="L72" s="9" t="s">
        <v>113</v>
      </c>
    </row>
    <row r="73" spans="1:12" x14ac:dyDescent="0.2">
      <c r="A73">
        <v>20250511</v>
      </c>
      <c r="B73" t="s">
        <v>9</v>
      </c>
      <c r="C73" t="s">
        <v>8</v>
      </c>
      <c r="D73">
        <v>2</v>
      </c>
      <c r="E73">
        <v>48</v>
      </c>
      <c r="F73">
        <v>0</v>
      </c>
      <c r="G73">
        <v>0</v>
      </c>
      <c r="H73" s="1">
        <v>45788</v>
      </c>
      <c r="I73">
        <v>20</v>
      </c>
      <c r="L73" s="9" t="s">
        <v>114</v>
      </c>
    </row>
    <row r="74" spans="1:12" x14ac:dyDescent="0.2">
      <c r="A74">
        <v>20250513</v>
      </c>
      <c r="B74" t="s">
        <v>12</v>
      </c>
      <c r="C74" t="s">
        <v>8</v>
      </c>
      <c r="D74">
        <v>2</v>
      </c>
      <c r="E74">
        <v>9.5</v>
      </c>
      <c r="F74">
        <v>0</v>
      </c>
      <c r="G74">
        <v>0</v>
      </c>
      <c r="H74" s="1">
        <v>45790</v>
      </c>
      <c r="I74">
        <v>20</v>
      </c>
      <c r="L74" s="9" t="s">
        <v>115</v>
      </c>
    </row>
    <row r="75" spans="1:12" x14ac:dyDescent="0.2">
      <c r="A75">
        <v>20250513</v>
      </c>
      <c r="B75" t="s">
        <v>9</v>
      </c>
      <c r="C75" t="s">
        <v>8</v>
      </c>
      <c r="D75">
        <v>1</v>
      </c>
      <c r="E75">
        <v>48</v>
      </c>
      <c r="F75">
        <v>0</v>
      </c>
      <c r="G75">
        <v>0</v>
      </c>
      <c r="H75" s="1">
        <v>45790</v>
      </c>
      <c r="I75">
        <v>20</v>
      </c>
      <c r="L75" s="9" t="s">
        <v>116</v>
      </c>
    </row>
    <row r="76" spans="1:12" x14ac:dyDescent="0.2">
      <c r="A76">
        <v>20250516</v>
      </c>
      <c r="B76" t="s">
        <v>9</v>
      </c>
      <c r="C76" t="s">
        <v>13</v>
      </c>
      <c r="D76">
        <v>5</v>
      </c>
      <c r="E76">
        <v>1</v>
      </c>
      <c r="F76">
        <v>0</v>
      </c>
      <c r="G76">
        <v>1</v>
      </c>
      <c r="H76" s="1">
        <v>45793</v>
      </c>
      <c r="I76">
        <v>20</v>
      </c>
      <c r="L76" s="9" t="s">
        <v>117</v>
      </c>
    </row>
    <row r="77" spans="1:12" x14ac:dyDescent="0.2">
      <c r="A77">
        <v>20250516</v>
      </c>
      <c r="B77" t="s">
        <v>9</v>
      </c>
      <c r="C77" t="s">
        <v>8</v>
      </c>
      <c r="D77">
        <v>4</v>
      </c>
      <c r="E77">
        <v>42</v>
      </c>
      <c r="F77">
        <v>0</v>
      </c>
      <c r="G77">
        <v>0</v>
      </c>
      <c r="H77" s="1">
        <v>45793</v>
      </c>
      <c r="I77">
        <v>20</v>
      </c>
      <c r="L77" s="9" t="s">
        <v>118</v>
      </c>
    </row>
    <row r="78" spans="1:12" x14ac:dyDescent="0.2">
      <c r="A78">
        <v>20250517</v>
      </c>
      <c r="B78" t="s">
        <v>9</v>
      </c>
      <c r="C78" t="s">
        <v>8</v>
      </c>
      <c r="D78">
        <v>9</v>
      </c>
      <c r="E78">
        <v>42.5555555555555</v>
      </c>
      <c r="F78">
        <v>0</v>
      </c>
      <c r="G78">
        <v>0</v>
      </c>
      <c r="H78" s="1">
        <v>45794</v>
      </c>
      <c r="I78">
        <v>20</v>
      </c>
      <c r="L78" s="9" t="s">
        <v>119</v>
      </c>
    </row>
    <row r="79" spans="1:12" x14ac:dyDescent="0.2">
      <c r="A79">
        <v>20250517</v>
      </c>
      <c r="B79" t="s">
        <v>9</v>
      </c>
      <c r="C79" t="s">
        <v>13</v>
      </c>
      <c r="D79">
        <v>1</v>
      </c>
      <c r="E79">
        <v>84</v>
      </c>
      <c r="F79">
        <v>0</v>
      </c>
      <c r="G79">
        <v>0</v>
      </c>
      <c r="H79" s="1">
        <v>45794</v>
      </c>
      <c r="I79">
        <v>20</v>
      </c>
      <c r="L79" s="9" t="s">
        <v>120</v>
      </c>
    </row>
    <row r="80" spans="1:12" x14ac:dyDescent="0.2">
      <c r="A80">
        <v>20250518</v>
      </c>
      <c r="B80" t="s">
        <v>9</v>
      </c>
      <c r="C80" t="s">
        <v>8</v>
      </c>
      <c r="D80">
        <v>6</v>
      </c>
      <c r="E80">
        <v>39.5</v>
      </c>
      <c r="F80">
        <v>0</v>
      </c>
      <c r="G80">
        <v>0</v>
      </c>
      <c r="H80" s="1">
        <v>45795</v>
      </c>
      <c r="I80">
        <v>21</v>
      </c>
      <c r="L80" s="9" t="s">
        <v>121</v>
      </c>
    </row>
    <row r="81" spans="1:12" x14ac:dyDescent="0.2">
      <c r="A81">
        <v>20250519</v>
      </c>
      <c r="B81" t="s">
        <v>9</v>
      </c>
      <c r="C81" t="s">
        <v>8</v>
      </c>
      <c r="D81">
        <v>2</v>
      </c>
      <c r="E81">
        <v>44</v>
      </c>
      <c r="F81">
        <v>0</v>
      </c>
      <c r="G81">
        <v>0</v>
      </c>
      <c r="H81" s="1">
        <v>45796</v>
      </c>
      <c r="I81">
        <v>21</v>
      </c>
      <c r="L81" s="9" t="s">
        <v>122</v>
      </c>
    </row>
    <row r="82" spans="1:12" x14ac:dyDescent="0.2">
      <c r="A82">
        <v>20250520</v>
      </c>
      <c r="B82" t="s">
        <v>9</v>
      </c>
      <c r="C82" t="s">
        <v>8</v>
      </c>
      <c r="D82">
        <v>2</v>
      </c>
      <c r="E82">
        <v>48</v>
      </c>
      <c r="F82">
        <v>0</v>
      </c>
      <c r="G82">
        <v>0</v>
      </c>
      <c r="H82" s="1">
        <v>45797</v>
      </c>
      <c r="I82">
        <v>21</v>
      </c>
      <c r="L82" s="9" t="s">
        <v>123</v>
      </c>
    </row>
    <row r="83" spans="1:12" x14ac:dyDescent="0.2">
      <c r="A83">
        <v>20250520</v>
      </c>
      <c r="B83" t="s">
        <v>12</v>
      </c>
      <c r="C83" t="s">
        <v>8</v>
      </c>
      <c r="D83">
        <v>2</v>
      </c>
      <c r="E83">
        <v>23.5</v>
      </c>
      <c r="F83">
        <v>0</v>
      </c>
      <c r="G83">
        <v>0</v>
      </c>
      <c r="H83" s="1">
        <v>45797</v>
      </c>
      <c r="I83">
        <v>21</v>
      </c>
      <c r="L83" s="9" t="s">
        <v>124</v>
      </c>
    </row>
    <row r="84" spans="1:12" x14ac:dyDescent="0.2">
      <c r="A84">
        <v>20250521</v>
      </c>
      <c r="B84" t="s">
        <v>9</v>
      </c>
      <c r="C84" t="s">
        <v>8</v>
      </c>
      <c r="D84">
        <v>7</v>
      </c>
      <c r="E84">
        <v>23.714285714285701</v>
      </c>
      <c r="F84">
        <v>0</v>
      </c>
      <c r="G84">
        <v>0</v>
      </c>
      <c r="H84" s="1">
        <v>45798</v>
      </c>
      <c r="I84">
        <v>21</v>
      </c>
      <c r="L84" s="9" t="s">
        <v>125</v>
      </c>
    </row>
    <row r="85" spans="1:12" x14ac:dyDescent="0.2">
      <c r="A85">
        <v>20250521</v>
      </c>
      <c r="B85" t="s">
        <v>9</v>
      </c>
      <c r="C85" t="s">
        <v>13</v>
      </c>
      <c r="D85">
        <v>2</v>
      </c>
      <c r="E85">
        <v>1</v>
      </c>
      <c r="F85">
        <v>0</v>
      </c>
      <c r="G85">
        <v>0</v>
      </c>
      <c r="H85" s="1">
        <v>45798</v>
      </c>
      <c r="I85">
        <v>21</v>
      </c>
      <c r="L85" s="9" t="s">
        <v>126</v>
      </c>
    </row>
    <row r="86" spans="1:12" x14ac:dyDescent="0.2">
      <c r="A86">
        <v>20250522</v>
      </c>
      <c r="B86" t="s">
        <v>12</v>
      </c>
      <c r="C86" t="s">
        <v>17</v>
      </c>
      <c r="D86">
        <v>1</v>
      </c>
      <c r="E86">
        <v>25</v>
      </c>
      <c r="F86">
        <v>0</v>
      </c>
      <c r="G86">
        <v>0</v>
      </c>
      <c r="H86" s="1">
        <v>45799</v>
      </c>
      <c r="I86">
        <v>21</v>
      </c>
      <c r="L86" s="9" t="s">
        <v>127</v>
      </c>
    </row>
    <row r="87" spans="1:12" x14ac:dyDescent="0.2">
      <c r="A87">
        <v>20250523</v>
      </c>
      <c r="B87" t="s">
        <v>9</v>
      </c>
      <c r="C87" t="s">
        <v>15</v>
      </c>
      <c r="D87">
        <v>1</v>
      </c>
      <c r="E87">
        <v>1</v>
      </c>
      <c r="F87">
        <v>0</v>
      </c>
      <c r="G87">
        <v>0</v>
      </c>
      <c r="H87" s="1">
        <v>45800</v>
      </c>
      <c r="I87">
        <v>21</v>
      </c>
      <c r="L87" s="9" t="s">
        <v>128</v>
      </c>
    </row>
    <row r="88" spans="1:12" x14ac:dyDescent="0.2">
      <c r="A88">
        <v>20250523</v>
      </c>
      <c r="B88" t="s">
        <v>9</v>
      </c>
      <c r="C88" t="s">
        <v>8</v>
      </c>
      <c r="D88">
        <v>1</v>
      </c>
      <c r="E88">
        <v>40</v>
      </c>
      <c r="F88">
        <v>0</v>
      </c>
      <c r="G88">
        <v>0</v>
      </c>
      <c r="H88" s="1">
        <v>45800</v>
      </c>
      <c r="I88">
        <v>21</v>
      </c>
      <c r="L88" s="9" t="s">
        <v>129</v>
      </c>
    </row>
    <row r="89" spans="1:12" x14ac:dyDescent="0.2">
      <c r="A89">
        <v>20250524</v>
      </c>
      <c r="B89" t="s">
        <v>9</v>
      </c>
      <c r="C89" t="s">
        <v>15</v>
      </c>
      <c r="D89">
        <v>6</v>
      </c>
      <c r="E89">
        <v>1</v>
      </c>
      <c r="F89">
        <v>0</v>
      </c>
      <c r="G89">
        <v>0</v>
      </c>
      <c r="H89" s="1">
        <v>45801</v>
      </c>
      <c r="I89">
        <v>21</v>
      </c>
      <c r="L89" s="9" t="s">
        <v>130</v>
      </c>
    </row>
    <row r="90" spans="1:12" x14ac:dyDescent="0.2">
      <c r="A90">
        <v>20250524</v>
      </c>
      <c r="B90" t="s">
        <v>9</v>
      </c>
      <c r="C90" t="s">
        <v>8</v>
      </c>
      <c r="D90">
        <v>1</v>
      </c>
      <c r="E90">
        <v>27</v>
      </c>
      <c r="F90">
        <v>0</v>
      </c>
      <c r="G90">
        <v>0</v>
      </c>
      <c r="H90" s="1">
        <v>45801</v>
      </c>
      <c r="I90">
        <v>21</v>
      </c>
      <c r="L90" s="9" t="s">
        <v>131</v>
      </c>
    </row>
    <row r="91" spans="1:12" x14ac:dyDescent="0.2">
      <c r="A91">
        <v>20250525</v>
      </c>
      <c r="B91" t="s">
        <v>9</v>
      </c>
      <c r="C91" t="s">
        <v>13</v>
      </c>
      <c r="D91">
        <v>7</v>
      </c>
      <c r="E91">
        <v>2</v>
      </c>
      <c r="F91">
        <v>0</v>
      </c>
      <c r="G91">
        <v>0</v>
      </c>
      <c r="H91" s="1">
        <v>45802</v>
      </c>
      <c r="I91">
        <v>22</v>
      </c>
      <c r="L91" s="9" t="s">
        <v>132</v>
      </c>
    </row>
    <row r="92" spans="1:12" x14ac:dyDescent="0.2">
      <c r="A92">
        <v>20250525</v>
      </c>
      <c r="B92" t="s">
        <v>9</v>
      </c>
      <c r="C92" t="s">
        <v>8</v>
      </c>
      <c r="D92">
        <v>2</v>
      </c>
      <c r="E92">
        <v>19</v>
      </c>
      <c r="F92">
        <v>0</v>
      </c>
      <c r="G92">
        <v>0</v>
      </c>
      <c r="H92" s="1">
        <v>45802</v>
      </c>
      <c r="I92">
        <v>22</v>
      </c>
      <c r="L92" s="9" t="s">
        <v>133</v>
      </c>
    </row>
    <row r="93" spans="1:12" x14ac:dyDescent="0.2">
      <c r="A93">
        <v>20250525</v>
      </c>
      <c r="B93" t="s">
        <v>12</v>
      </c>
      <c r="C93" t="s">
        <v>8</v>
      </c>
      <c r="D93">
        <v>1</v>
      </c>
      <c r="E93">
        <v>1</v>
      </c>
      <c r="F93">
        <v>1</v>
      </c>
      <c r="G93">
        <v>1</v>
      </c>
      <c r="H93" s="1">
        <v>45802</v>
      </c>
      <c r="I93">
        <v>22</v>
      </c>
      <c r="L93" s="9" t="s">
        <v>134</v>
      </c>
    </row>
    <row r="94" spans="1:12" x14ac:dyDescent="0.2">
      <c r="A94">
        <v>20250526</v>
      </c>
      <c r="B94" t="s">
        <v>9</v>
      </c>
      <c r="C94" t="s">
        <v>13</v>
      </c>
      <c r="D94">
        <v>7</v>
      </c>
      <c r="E94">
        <v>1</v>
      </c>
      <c r="F94">
        <v>0</v>
      </c>
      <c r="G94">
        <v>0</v>
      </c>
      <c r="H94" s="1">
        <v>45803</v>
      </c>
      <c r="I94">
        <v>22</v>
      </c>
      <c r="L94" s="9" t="s">
        <v>135</v>
      </c>
    </row>
    <row r="95" spans="1:12" x14ac:dyDescent="0.2">
      <c r="A95">
        <v>20250526</v>
      </c>
      <c r="B95" t="s">
        <v>9</v>
      </c>
      <c r="C95" t="s">
        <v>8</v>
      </c>
      <c r="D95">
        <v>1</v>
      </c>
      <c r="E95">
        <v>40</v>
      </c>
      <c r="F95">
        <v>0</v>
      </c>
      <c r="G95">
        <v>0</v>
      </c>
      <c r="H95" s="1">
        <v>45803</v>
      </c>
      <c r="I95">
        <v>22</v>
      </c>
      <c r="L95" s="9" t="s">
        <v>136</v>
      </c>
    </row>
    <row r="96" spans="1:12" x14ac:dyDescent="0.2">
      <c r="A96">
        <v>20250527</v>
      </c>
      <c r="B96" t="s">
        <v>12</v>
      </c>
      <c r="C96" t="s">
        <v>8</v>
      </c>
      <c r="D96">
        <v>9</v>
      </c>
      <c r="E96">
        <v>44.6666666666666</v>
      </c>
      <c r="F96">
        <v>0</v>
      </c>
      <c r="G96">
        <v>0</v>
      </c>
      <c r="H96" s="1">
        <v>45804</v>
      </c>
      <c r="I96">
        <v>22</v>
      </c>
      <c r="L96" s="9" t="s">
        <v>137</v>
      </c>
    </row>
    <row r="97" spans="1:12" x14ac:dyDescent="0.2">
      <c r="A97">
        <v>20250527</v>
      </c>
      <c r="B97" t="s">
        <v>9</v>
      </c>
      <c r="C97" t="s">
        <v>8</v>
      </c>
      <c r="D97">
        <v>1</v>
      </c>
      <c r="E97">
        <v>2</v>
      </c>
      <c r="F97">
        <v>1</v>
      </c>
      <c r="G97">
        <v>2</v>
      </c>
      <c r="H97" s="1">
        <v>45804</v>
      </c>
      <c r="I97">
        <v>22</v>
      </c>
      <c r="L97" s="9" t="s">
        <v>138</v>
      </c>
    </row>
    <row r="98" spans="1:12" x14ac:dyDescent="0.2">
      <c r="A98">
        <v>20250528</v>
      </c>
      <c r="B98" t="s">
        <v>9</v>
      </c>
      <c r="C98" t="s">
        <v>8</v>
      </c>
      <c r="D98">
        <v>10</v>
      </c>
      <c r="E98">
        <v>21</v>
      </c>
      <c r="F98">
        <v>0</v>
      </c>
      <c r="G98">
        <v>4</v>
      </c>
      <c r="H98" s="1">
        <v>45805</v>
      </c>
      <c r="I98">
        <v>22</v>
      </c>
      <c r="L98" s="9" t="s">
        <v>139</v>
      </c>
    </row>
    <row r="99" spans="1:12" x14ac:dyDescent="0.2">
      <c r="A99">
        <v>20250528</v>
      </c>
      <c r="B99" t="s">
        <v>12</v>
      </c>
      <c r="C99" t="s">
        <v>8</v>
      </c>
      <c r="D99">
        <v>1</v>
      </c>
      <c r="E99">
        <v>75</v>
      </c>
      <c r="F99">
        <v>0</v>
      </c>
      <c r="G99">
        <v>0</v>
      </c>
      <c r="H99" s="1">
        <v>45805</v>
      </c>
      <c r="I99">
        <v>22</v>
      </c>
      <c r="L99" s="9" t="s">
        <v>140</v>
      </c>
    </row>
    <row r="100" spans="1:12" x14ac:dyDescent="0.2">
      <c r="A100">
        <v>20250529</v>
      </c>
      <c r="B100" t="s">
        <v>9</v>
      </c>
      <c r="C100" t="s">
        <v>8</v>
      </c>
      <c r="D100">
        <v>15</v>
      </c>
      <c r="E100">
        <v>9.2666666666666604</v>
      </c>
      <c r="F100">
        <v>0</v>
      </c>
      <c r="G100">
        <v>0</v>
      </c>
      <c r="H100" s="1">
        <v>45806</v>
      </c>
      <c r="I100">
        <v>22</v>
      </c>
      <c r="L100" s="9" t="s">
        <v>141</v>
      </c>
    </row>
    <row r="101" spans="1:12" x14ac:dyDescent="0.2">
      <c r="A101">
        <v>20250529</v>
      </c>
      <c r="B101" t="s">
        <v>9</v>
      </c>
      <c r="C101" t="s">
        <v>32</v>
      </c>
      <c r="D101">
        <v>1</v>
      </c>
      <c r="E101">
        <v>10</v>
      </c>
      <c r="F101">
        <v>0</v>
      </c>
      <c r="G101">
        <v>0</v>
      </c>
      <c r="H101" s="1">
        <v>45806</v>
      </c>
      <c r="I101">
        <v>22</v>
      </c>
      <c r="L101" s="9" t="s">
        <v>142</v>
      </c>
    </row>
    <row r="102" spans="1:12" x14ac:dyDescent="0.2">
      <c r="A102">
        <v>20250530</v>
      </c>
      <c r="B102" t="s">
        <v>9</v>
      </c>
      <c r="C102" t="s">
        <v>8</v>
      </c>
      <c r="D102">
        <v>9</v>
      </c>
      <c r="E102">
        <v>20.1111111111111</v>
      </c>
      <c r="F102">
        <v>0</v>
      </c>
      <c r="G102">
        <v>0</v>
      </c>
      <c r="H102" s="1">
        <v>45807</v>
      </c>
      <c r="I102">
        <v>22</v>
      </c>
      <c r="L102" s="9" t="s">
        <v>143</v>
      </c>
    </row>
    <row r="103" spans="1:12" x14ac:dyDescent="0.2">
      <c r="A103">
        <v>20250531</v>
      </c>
      <c r="B103" t="s">
        <v>9</v>
      </c>
      <c r="C103" t="s">
        <v>8</v>
      </c>
      <c r="D103">
        <v>19</v>
      </c>
      <c r="E103">
        <v>9.6842105263157894</v>
      </c>
      <c r="F103">
        <v>0</v>
      </c>
      <c r="G103">
        <v>0</v>
      </c>
      <c r="H103" s="1">
        <v>45808</v>
      </c>
      <c r="I103">
        <v>22</v>
      </c>
      <c r="L103" s="9" t="s">
        <v>144</v>
      </c>
    </row>
    <row r="104" spans="1:12" x14ac:dyDescent="0.2">
      <c r="A104">
        <v>20250531</v>
      </c>
      <c r="B104" t="s">
        <v>12</v>
      </c>
      <c r="C104" t="s">
        <v>8</v>
      </c>
      <c r="D104">
        <v>3</v>
      </c>
      <c r="E104">
        <v>46.6666666666666</v>
      </c>
      <c r="F104">
        <v>0</v>
      </c>
      <c r="G104">
        <v>0</v>
      </c>
      <c r="H104" s="1">
        <v>45808</v>
      </c>
      <c r="I104">
        <v>22</v>
      </c>
      <c r="L104" s="9" t="s">
        <v>145</v>
      </c>
    </row>
    <row r="105" spans="1:12" x14ac:dyDescent="0.2">
      <c r="A105">
        <v>20250531</v>
      </c>
      <c r="B105" t="s">
        <v>9</v>
      </c>
      <c r="C105" t="s">
        <v>22</v>
      </c>
      <c r="D105">
        <v>1</v>
      </c>
      <c r="E105">
        <v>38</v>
      </c>
      <c r="F105">
        <v>0</v>
      </c>
      <c r="G105">
        <v>0</v>
      </c>
      <c r="H105" s="1">
        <v>45808</v>
      </c>
      <c r="I105">
        <v>22</v>
      </c>
      <c r="L105" s="9" t="s">
        <v>146</v>
      </c>
    </row>
    <row r="106" spans="1:12" x14ac:dyDescent="0.2">
      <c r="A106">
        <v>20250601</v>
      </c>
      <c r="B106" t="s">
        <v>9</v>
      </c>
      <c r="C106" t="s">
        <v>8</v>
      </c>
      <c r="D106">
        <v>10</v>
      </c>
      <c r="E106">
        <v>6.9</v>
      </c>
      <c r="F106">
        <v>0</v>
      </c>
      <c r="G106">
        <v>0</v>
      </c>
      <c r="H106" s="1">
        <v>45809</v>
      </c>
      <c r="I106">
        <v>23</v>
      </c>
      <c r="L106" s="9" t="s">
        <v>147</v>
      </c>
    </row>
    <row r="107" spans="1:12" x14ac:dyDescent="0.2">
      <c r="A107">
        <v>20250601</v>
      </c>
      <c r="B107" t="s">
        <v>12</v>
      </c>
      <c r="C107" t="s">
        <v>8</v>
      </c>
      <c r="D107">
        <v>1</v>
      </c>
      <c r="E107">
        <v>65</v>
      </c>
      <c r="F107">
        <v>0</v>
      </c>
      <c r="G107">
        <v>0</v>
      </c>
      <c r="H107" s="1">
        <v>45809</v>
      </c>
      <c r="I107">
        <v>23</v>
      </c>
      <c r="L107" s="9" t="s">
        <v>148</v>
      </c>
    </row>
    <row r="108" spans="1:12" x14ac:dyDescent="0.2">
      <c r="A108">
        <v>20250602</v>
      </c>
      <c r="B108" t="s">
        <v>9</v>
      </c>
      <c r="C108" t="s">
        <v>8</v>
      </c>
      <c r="D108">
        <v>8</v>
      </c>
      <c r="E108">
        <v>24</v>
      </c>
      <c r="F108">
        <v>0</v>
      </c>
      <c r="G108">
        <v>0</v>
      </c>
      <c r="H108" s="1">
        <v>45810</v>
      </c>
      <c r="I108">
        <v>23</v>
      </c>
      <c r="L108" s="9" t="s">
        <v>149</v>
      </c>
    </row>
    <row r="109" spans="1:12" x14ac:dyDescent="0.2">
      <c r="A109">
        <v>20250602</v>
      </c>
      <c r="B109" t="s">
        <v>9</v>
      </c>
      <c r="C109" t="s">
        <v>18</v>
      </c>
      <c r="D109">
        <v>1</v>
      </c>
      <c r="E109">
        <v>1</v>
      </c>
      <c r="F109">
        <v>0</v>
      </c>
      <c r="G109">
        <v>2</v>
      </c>
      <c r="H109" s="1">
        <v>45810</v>
      </c>
      <c r="I109">
        <v>23</v>
      </c>
      <c r="L109" s="9" t="s">
        <v>150</v>
      </c>
    </row>
    <row r="110" spans="1:12" x14ac:dyDescent="0.2">
      <c r="A110">
        <v>20250603</v>
      </c>
      <c r="B110" t="s">
        <v>9</v>
      </c>
      <c r="C110" t="s">
        <v>8</v>
      </c>
      <c r="D110">
        <v>32</v>
      </c>
      <c r="E110">
        <v>20.25</v>
      </c>
      <c r="F110">
        <v>0</v>
      </c>
      <c r="G110">
        <v>0</v>
      </c>
      <c r="H110" s="1">
        <v>45811</v>
      </c>
      <c r="I110">
        <v>23</v>
      </c>
      <c r="L110" s="9" t="s">
        <v>151</v>
      </c>
    </row>
    <row r="111" spans="1:12" x14ac:dyDescent="0.2">
      <c r="A111">
        <v>20250603</v>
      </c>
      <c r="B111" t="s">
        <v>12</v>
      </c>
      <c r="C111" t="s">
        <v>8</v>
      </c>
      <c r="D111">
        <v>9</v>
      </c>
      <c r="E111">
        <v>36.3333333333333</v>
      </c>
      <c r="F111">
        <v>0</v>
      </c>
      <c r="G111">
        <v>0</v>
      </c>
      <c r="H111" s="1">
        <v>45811</v>
      </c>
      <c r="I111">
        <v>23</v>
      </c>
      <c r="L111" s="9" t="s">
        <v>152</v>
      </c>
    </row>
    <row r="112" spans="1:12" x14ac:dyDescent="0.2">
      <c r="A112">
        <v>20250603</v>
      </c>
      <c r="B112" t="s">
        <v>9</v>
      </c>
      <c r="C112" t="s">
        <v>22</v>
      </c>
      <c r="D112">
        <v>1</v>
      </c>
      <c r="E112">
        <v>64</v>
      </c>
      <c r="F112">
        <v>0</v>
      </c>
      <c r="G112">
        <v>0</v>
      </c>
      <c r="H112" s="1">
        <v>45811</v>
      </c>
      <c r="I112">
        <v>23</v>
      </c>
      <c r="L112" s="9" t="s">
        <v>153</v>
      </c>
    </row>
    <row r="113" spans="1:12" x14ac:dyDescent="0.2">
      <c r="A113">
        <v>20250604</v>
      </c>
      <c r="B113" t="s">
        <v>9</v>
      </c>
      <c r="C113" t="s">
        <v>8</v>
      </c>
      <c r="D113">
        <v>28</v>
      </c>
      <c r="E113">
        <v>21.25</v>
      </c>
      <c r="F113">
        <v>0</v>
      </c>
      <c r="G113">
        <v>0</v>
      </c>
      <c r="H113" s="1">
        <v>45812</v>
      </c>
      <c r="I113">
        <v>23</v>
      </c>
      <c r="L113" s="9" t="s">
        <v>154</v>
      </c>
    </row>
    <row r="114" spans="1:12" x14ac:dyDescent="0.2">
      <c r="A114">
        <v>20250604</v>
      </c>
      <c r="B114" t="s">
        <v>12</v>
      </c>
      <c r="C114" t="s">
        <v>8</v>
      </c>
      <c r="D114">
        <v>7</v>
      </c>
      <c r="E114">
        <v>35.714285714285701</v>
      </c>
      <c r="F114">
        <v>0</v>
      </c>
      <c r="G114">
        <v>0</v>
      </c>
      <c r="H114" s="1">
        <v>45812</v>
      </c>
      <c r="I114">
        <v>23</v>
      </c>
      <c r="L114" s="9" t="s">
        <v>155</v>
      </c>
    </row>
    <row r="115" spans="1:12" x14ac:dyDescent="0.2">
      <c r="A115">
        <v>20250605</v>
      </c>
      <c r="B115" t="s">
        <v>9</v>
      </c>
      <c r="C115" t="s">
        <v>8</v>
      </c>
      <c r="D115">
        <v>14</v>
      </c>
      <c r="E115">
        <v>23</v>
      </c>
      <c r="F115">
        <v>0</v>
      </c>
      <c r="G115">
        <v>0</v>
      </c>
      <c r="H115" s="1">
        <v>45813</v>
      </c>
      <c r="I115">
        <v>23</v>
      </c>
      <c r="L115" s="9" t="s">
        <v>156</v>
      </c>
    </row>
    <row r="116" spans="1:12" x14ac:dyDescent="0.2">
      <c r="A116">
        <v>20250605</v>
      </c>
      <c r="B116" t="s">
        <v>12</v>
      </c>
      <c r="C116" t="s">
        <v>8</v>
      </c>
      <c r="D116">
        <v>5</v>
      </c>
      <c r="E116">
        <v>39.6</v>
      </c>
      <c r="F116">
        <v>0</v>
      </c>
      <c r="G116">
        <v>0</v>
      </c>
      <c r="H116" s="1">
        <v>45813</v>
      </c>
      <c r="I116">
        <v>23</v>
      </c>
      <c r="L116" s="9" t="s">
        <v>157</v>
      </c>
    </row>
    <row r="117" spans="1:12" x14ac:dyDescent="0.2">
      <c r="A117">
        <v>20250606</v>
      </c>
      <c r="B117" t="s">
        <v>9</v>
      </c>
      <c r="C117" t="s">
        <v>8</v>
      </c>
      <c r="D117">
        <v>22</v>
      </c>
      <c r="E117">
        <v>11.863636363636299</v>
      </c>
      <c r="F117">
        <v>0</v>
      </c>
      <c r="G117">
        <v>1</v>
      </c>
      <c r="H117" s="1">
        <v>45814</v>
      </c>
      <c r="I117">
        <v>23</v>
      </c>
      <c r="L117" s="9" t="s">
        <v>158</v>
      </c>
    </row>
    <row r="118" spans="1:12" x14ac:dyDescent="0.2">
      <c r="A118">
        <v>20250606</v>
      </c>
      <c r="B118" t="s">
        <v>12</v>
      </c>
      <c r="C118" t="s">
        <v>8</v>
      </c>
      <c r="D118">
        <v>4</v>
      </c>
      <c r="E118">
        <v>38.25</v>
      </c>
      <c r="F118">
        <v>0</v>
      </c>
      <c r="G118">
        <v>0</v>
      </c>
      <c r="H118" s="1">
        <v>45814</v>
      </c>
      <c r="I118">
        <v>23</v>
      </c>
      <c r="L118" s="9" t="s">
        <v>159</v>
      </c>
    </row>
    <row r="119" spans="1:12" x14ac:dyDescent="0.2">
      <c r="A119">
        <v>20250607</v>
      </c>
      <c r="B119" t="s">
        <v>9</v>
      </c>
      <c r="C119" t="s">
        <v>8</v>
      </c>
      <c r="D119">
        <v>15</v>
      </c>
      <c r="E119">
        <v>11.6666666666666</v>
      </c>
      <c r="F119">
        <v>0</v>
      </c>
      <c r="G119">
        <v>0</v>
      </c>
      <c r="H119" s="1">
        <v>45815</v>
      </c>
      <c r="I119">
        <v>23</v>
      </c>
      <c r="L119" s="9" t="s">
        <v>160</v>
      </c>
    </row>
    <row r="120" spans="1:12" x14ac:dyDescent="0.2">
      <c r="A120">
        <v>20250608</v>
      </c>
      <c r="B120" t="s">
        <v>9</v>
      </c>
      <c r="C120" t="s">
        <v>8</v>
      </c>
      <c r="D120">
        <v>22</v>
      </c>
      <c r="E120">
        <v>13.409090909090899</v>
      </c>
      <c r="F120">
        <v>0</v>
      </c>
      <c r="G120">
        <v>0</v>
      </c>
      <c r="H120" s="1">
        <v>45816</v>
      </c>
      <c r="I120">
        <v>24</v>
      </c>
      <c r="L120" s="9" t="s">
        <v>161</v>
      </c>
    </row>
    <row r="121" spans="1:12" x14ac:dyDescent="0.2">
      <c r="A121">
        <v>20250608</v>
      </c>
      <c r="B121" t="s">
        <v>12</v>
      </c>
      <c r="C121" t="s">
        <v>8</v>
      </c>
      <c r="D121">
        <v>6</v>
      </c>
      <c r="E121">
        <v>26.5</v>
      </c>
      <c r="F121">
        <v>0</v>
      </c>
      <c r="G121">
        <v>0</v>
      </c>
      <c r="H121" s="1">
        <v>45816</v>
      </c>
      <c r="I121">
        <v>24</v>
      </c>
      <c r="L121" s="9" t="s">
        <v>162</v>
      </c>
    </row>
    <row r="122" spans="1:12" x14ac:dyDescent="0.2">
      <c r="A122">
        <v>20250609</v>
      </c>
      <c r="B122" t="s">
        <v>9</v>
      </c>
      <c r="C122" t="s">
        <v>8</v>
      </c>
      <c r="D122">
        <v>13</v>
      </c>
      <c r="E122">
        <v>10.1538461538461</v>
      </c>
      <c r="F122">
        <v>0</v>
      </c>
      <c r="G122">
        <v>0</v>
      </c>
      <c r="H122" s="1">
        <v>45817</v>
      </c>
      <c r="I122">
        <v>24</v>
      </c>
      <c r="L122" s="9" t="s">
        <v>163</v>
      </c>
    </row>
    <row r="123" spans="1:12" x14ac:dyDescent="0.2">
      <c r="A123">
        <v>20250609</v>
      </c>
      <c r="B123" t="s">
        <v>12</v>
      </c>
      <c r="C123" t="s">
        <v>8</v>
      </c>
      <c r="D123">
        <v>4</v>
      </c>
      <c r="E123">
        <v>30.5</v>
      </c>
      <c r="F123">
        <v>0</v>
      </c>
      <c r="G123">
        <v>0</v>
      </c>
      <c r="H123" s="1">
        <v>45817</v>
      </c>
      <c r="I123">
        <v>24</v>
      </c>
      <c r="L123" s="9" t="s">
        <v>164</v>
      </c>
    </row>
    <row r="124" spans="1:12" x14ac:dyDescent="0.2">
      <c r="A124">
        <v>20250610</v>
      </c>
      <c r="B124" t="s">
        <v>9</v>
      </c>
      <c r="C124" t="s">
        <v>8</v>
      </c>
      <c r="D124">
        <v>11</v>
      </c>
      <c r="E124">
        <v>16.181818181818102</v>
      </c>
      <c r="F124">
        <v>0</v>
      </c>
      <c r="G124">
        <v>0</v>
      </c>
      <c r="H124" s="1">
        <v>45818</v>
      </c>
      <c r="I124">
        <v>24</v>
      </c>
      <c r="L124" s="9" t="s">
        <v>165</v>
      </c>
    </row>
    <row r="125" spans="1:12" x14ac:dyDescent="0.2">
      <c r="A125">
        <v>20250610</v>
      </c>
      <c r="B125" t="s">
        <v>9</v>
      </c>
      <c r="C125" t="s">
        <v>15</v>
      </c>
      <c r="D125">
        <v>3</v>
      </c>
      <c r="E125">
        <v>1</v>
      </c>
      <c r="F125">
        <v>0</v>
      </c>
      <c r="G125">
        <v>0</v>
      </c>
      <c r="H125" s="1">
        <v>45818</v>
      </c>
      <c r="I125">
        <v>24</v>
      </c>
      <c r="L125" s="9" t="s">
        <v>166</v>
      </c>
    </row>
    <row r="126" spans="1:12" x14ac:dyDescent="0.2">
      <c r="A126">
        <v>20250610</v>
      </c>
      <c r="B126" t="s">
        <v>12</v>
      </c>
      <c r="C126" t="s">
        <v>8</v>
      </c>
      <c r="D126">
        <v>1</v>
      </c>
      <c r="E126">
        <v>30</v>
      </c>
      <c r="F126">
        <v>0</v>
      </c>
      <c r="G126">
        <v>0</v>
      </c>
      <c r="H126" s="1">
        <v>45818</v>
      </c>
      <c r="I126">
        <v>24</v>
      </c>
      <c r="L126" s="9" t="s">
        <v>167</v>
      </c>
    </row>
    <row r="127" spans="1:12" x14ac:dyDescent="0.2">
      <c r="A127">
        <v>20250611</v>
      </c>
      <c r="B127" t="s">
        <v>9</v>
      </c>
      <c r="C127" t="s">
        <v>8</v>
      </c>
      <c r="D127">
        <v>11</v>
      </c>
      <c r="E127">
        <v>19.4545454545454</v>
      </c>
      <c r="F127">
        <v>0</v>
      </c>
      <c r="G127">
        <v>0</v>
      </c>
      <c r="H127" s="1">
        <v>45819</v>
      </c>
      <c r="I127">
        <v>24</v>
      </c>
      <c r="L127" s="9" t="s">
        <v>168</v>
      </c>
    </row>
    <row r="128" spans="1:12" x14ac:dyDescent="0.2">
      <c r="A128">
        <v>20250611</v>
      </c>
      <c r="B128" t="s">
        <v>12</v>
      </c>
      <c r="C128" t="s">
        <v>8</v>
      </c>
      <c r="D128">
        <v>2</v>
      </c>
      <c r="E128">
        <v>51</v>
      </c>
      <c r="F128">
        <v>0</v>
      </c>
      <c r="G128">
        <v>0</v>
      </c>
      <c r="H128" s="1">
        <v>45819</v>
      </c>
      <c r="I128">
        <v>24</v>
      </c>
      <c r="L128" s="9" t="s">
        <v>169</v>
      </c>
    </row>
    <row r="129" spans="1:12" x14ac:dyDescent="0.2">
      <c r="A129">
        <v>20250612</v>
      </c>
      <c r="B129" t="s">
        <v>9</v>
      </c>
      <c r="C129" t="s">
        <v>8</v>
      </c>
      <c r="D129">
        <v>17</v>
      </c>
      <c r="E129">
        <v>11.176470588235199</v>
      </c>
      <c r="F129">
        <v>0</v>
      </c>
      <c r="G129">
        <v>0</v>
      </c>
      <c r="H129" s="1">
        <v>45820</v>
      </c>
      <c r="I129">
        <v>24</v>
      </c>
      <c r="L129" s="9" t="s">
        <v>170</v>
      </c>
    </row>
    <row r="130" spans="1:12" x14ac:dyDescent="0.2">
      <c r="A130">
        <v>20250612</v>
      </c>
      <c r="B130" t="s">
        <v>9</v>
      </c>
      <c r="C130" t="s">
        <v>13</v>
      </c>
      <c r="D130">
        <v>4</v>
      </c>
      <c r="E130">
        <v>1</v>
      </c>
      <c r="F130">
        <v>0</v>
      </c>
      <c r="G130">
        <v>0</v>
      </c>
      <c r="H130" s="1">
        <v>45820</v>
      </c>
      <c r="I130">
        <v>24</v>
      </c>
      <c r="L130" s="9" t="s">
        <v>171</v>
      </c>
    </row>
    <row r="131" spans="1:12" x14ac:dyDescent="0.2">
      <c r="A131">
        <v>20250612</v>
      </c>
      <c r="B131" t="s">
        <v>12</v>
      </c>
      <c r="C131" t="s">
        <v>8</v>
      </c>
      <c r="D131">
        <v>3</v>
      </c>
      <c r="E131">
        <v>9.6666666666666607</v>
      </c>
      <c r="F131">
        <v>0</v>
      </c>
      <c r="G131">
        <v>0</v>
      </c>
      <c r="H131" s="1">
        <v>45820</v>
      </c>
      <c r="I131">
        <v>24</v>
      </c>
      <c r="L131" s="9" t="s">
        <v>172</v>
      </c>
    </row>
    <row r="132" spans="1:12" x14ac:dyDescent="0.2">
      <c r="A132">
        <v>20250612</v>
      </c>
      <c r="B132" t="s">
        <v>9</v>
      </c>
      <c r="C132" t="s">
        <v>15</v>
      </c>
      <c r="D132">
        <v>1</v>
      </c>
      <c r="E132">
        <v>32</v>
      </c>
      <c r="F132">
        <v>0</v>
      </c>
      <c r="G132">
        <v>0</v>
      </c>
      <c r="H132" s="1">
        <v>45820</v>
      </c>
      <c r="I132">
        <v>24</v>
      </c>
      <c r="L132" s="9" t="s">
        <v>173</v>
      </c>
    </row>
    <row r="133" spans="1:12" x14ac:dyDescent="0.2">
      <c r="A133">
        <v>20250613</v>
      </c>
      <c r="B133" t="s">
        <v>9</v>
      </c>
      <c r="C133" t="s">
        <v>8</v>
      </c>
      <c r="D133">
        <v>11</v>
      </c>
      <c r="E133">
        <v>31.636363636363601</v>
      </c>
      <c r="F133">
        <v>0</v>
      </c>
      <c r="G133">
        <v>0</v>
      </c>
      <c r="H133" s="1">
        <v>45821</v>
      </c>
      <c r="I133">
        <v>24</v>
      </c>
      <c r="L133" s="9" t="s">
        <v>174</v>
      </c>
    </row>
    <row r="134" spans="1:12" x14ac:dyDescent="0.2">
      <c r="A134">
        <v>20250613</v>
      </c>
      <c r="B134" t="s">
        <v>12</v>
      </c>
      <c r="C134" t="s">
        <v>8</v>
      </c>
      <c r="D134">
        <v>5</v>
      </c>
      <c r="E134">
        <v>13</v>
      </c>
      <c r="F134">
        <v>0</v>
      </c>
      <c r="G134">
        <v>0</v>
      </c>
      <c r="H134" s="1">
        <v>45821</v>
      </c>
      <c r="I134">
        <v>24</v>
      </c>
      <c r="L134" s="9" t="s">
        <v>175</v>
      </c>
    </row>
    <row r="135" spans="1:12" x14ac:dyDescent="0.2">
      <c r="A135">
        <v>20250613</v>
      </c>
      <c r="B135" t="s">
        <v>9</v>
      </c>
      <c r="C135" t="s">
        <v>15</v>
      </c>
      <c r="D135">
        <v>3</v>
      </c>
      <c r="E135">
        <v>41</v>
      </c>
      <c r="F135">
        <v>0</v>
      </c>
      <c r="G135">
        <v>0</v>
      </c>
      <c r="H135" s="1">
        <v>45821</v>
      </c>
      <c r="I135">
        <v>24</v>
      </c>
      <c r="L135" s="9" t="s">
        <v>176</v>
      </c>
    </row>
    <row r="136" spans="1:12" x14ac:dyDescent="0.2">
      <c r="A136">
        <v>20250614</v>
      </c>
      <c r="B136" t="s">
        <v>9</v>
      </c>
      <c r="C136" t="s">
        <v>8</v>
      </c>
      <c r="D136">
        <v>13</v>
      </c>
      <c r="E136">
        <v>13.076923076923</v>
      </c>
      <c r="F136">
        <v>0</v>
      </c>
      <c r="G136">
        <v>0</v>
      </c>
      <c r="H136" s="1">
        <v>45822</v>
      </c>
      <c r="I136">
        <v>24</v>
      </c>
      <c r="L136" s="9" t="s">
        <v>177</v>
      </c>
    </row>
    <row r="137" spans="1:12" x14ac:dyDescent="0.2">
      <c r="A137">
        <v>20250614</v>
      </c>
      <c r="B137" t="s">
        <v>12</v>
      </c>
      <c r="C137" t="s">
        <v>8</v>
      </c>
      <c r="D137">
        <v>5</v>
      </c>
      <c r="E137">
        <v>26.4</v>
      </c>
      <c r="F137">
        <v>0</v>
      </c>
      <c r="G137">
        <v>0</v>
      </c>
      <c r="H137" s="1">
        <v>45822</v>
      </c>
      <c r="I137">
        <v>24</v>
      </c>
      <c r="L137" s="9" t="s">
        <v>178</v>
      </c>
    </row>
    <row r="138" spans="1:12" x14ac:dyDescent="0.2">
      <c r="A138">
        <v>20250615</v>
      </c>
      <c r="B138" t="s">
        <v>9</v>
      </c>
      <c r="C138" t="s">
        <v>8</v>
      </c>
      <c r="D138">
        <v>19</v>
      </c>
      <c r="E138">
        <v>12.5263157894736</v>
      </c>
      <c r="F138">
        <v>0</v>
      </c>
      <c r="G138">
        <v>0</v>
      </c>
      <c r="H138" s="1">
        <v>45823</v>
      </c>
      <c r="I138">
        <v>25</v>
      </c>
      <c r="L138" s="9" t="s">
        <v>179</v>
      </c>
    </row>
    <row r="139" spans="1:12" x14ac:dyDescent="0.2">
      <c r="A139">
        <v>20250615</v>
      </c>
      <c r="B139" t="s">
        <v>12</v>
      </c>
      <c r="C139" t="s">
        <v>8</v>
      </c>
      <c r="D139">
        <v>10</v>
      </c>
      <c r="E139">
        <v>21.5</v>
      </c>
      <c r="F139">
        <v>0</v>
      </c>
      <c r="G139">
        <v>0</v>
      </c>
      <c r="H139" s="1">
        <v>45823</v>
      </c>
      <c r="I139">
        <v>25</v>
      </c>
      <c r="L139" s="9" t="s">
        <v>180</v>
      </c>
    </row>
    <row r="140" spans="1:12" x14ac:dyDescent="0.2">
      <c r="A140">
        <v>20250616</v>
      </c>
      <c r="B140" t="s">
        <v>9</v>
      </c>
      <c r="C140" t="s">
        <v>8</v>
      </c>
      <c r="D140">
        <v>21</v>
      </c>
      <c r="E140">
        <v>13.523809523809501</v>
      </c>
      <c r="F140">
        <v>0</v>
      </c>
      <c r="G140">
        <v>0</v>
      </c>
      <c r="H140" s="1">
        <v>45824</v>
      </c>
      <c r="I140">
        <v>25</v>
      </c>
      <c r="L140" s="9" t="s">
        <v>181</v>
      </c>
    </row>
    <row r="141" spans="1:12" x14ac:dyDescent="0.2">
      <c r="A141">
        <v>20250616</v>
      </c>
      <c r="B141" t="s">
        <v>12</v>
      </c>
      <c r="C141" t="s">
        <v>8</v>
      </c>
      <c r="D141">
        <v>3</v>
      </c>
      <c r="E141">
        <v>11</v>
      </c>
      <c r="F141">
        <v>0</v>
      </c>
      <c r="G141">
        <v>0</v>
      </c>
      <c r="H141" s="1">
        <v>45824</v>
      </c>
      <c r="I141">
        <v>25</v>
      </c>
      <c r="L141" s="9" t="s">
        <v>182</v>
      </c>
    </row>
    <row r="142" spans="1:12" x14ac:dyDescent="0.2">
      <c r="A142">
        <v>20250617</v>
      </c>
      <c r="B142" t="s">
        <v>9</v>
      </c>
      <c r="C142" t="s">
        <v>8</v>
      </c>
      <c r="D142">
        <v>27</v>
      </c>
      <c r="E142">
        <v>15.148148148148101</v>
      </c>
      <c r="F142">
        <v>0</v>
      </c>
      <c r="G142">
        <v>0</v>
      </c>
      <c r="H142" s="1">
        <v>45825</v>
      </c>
      <c r="I142">
        <v>25</v>
      </c>
      <c r="L142" s="9" t="s">
        <v>183</v>
      </c>
    </row>
    <row r="143" spans="1:12" x14ac:dyDescent="0.2">
      <c r="A143">
        <v>20250617</v>
      </c>
      <c r="B143" t="s">
        <v>12</v>
      </c>
      <c r="C143" t="s">
        <v>8</v>
      </c>
      <c r="D143">
        <v>6</v>
      </c>
      <c r="E143">
        <v>22.1666666666666</v>
      </c>
      <c r="F143">
        <v>0</v>
      </c>
      <c r="G143">
        <v>0</v>
      </c>
      <c r="H143" s="1">
        <v>45825</v>
      </c>
      <c r="I143">
        <v>25</v>
      </c>
      <c r="L143" s="9" t="s">
        <v>184</v>
      </c>
    </row>
    <row r="144" spans="1:12" x14ac:dyDescent="0.2">
      <c r="A144">
        <v>20250618</v>
      </c>
      <c r="B144" t="s">
        <v>9</v>
      </c>
      <c r="C144" t="s">
        <v>8</v>
      </c>
      <c r="D144">
        <v>26</v>
      </c>
      <c r="E144">
        <v>15.615384615384601</v>
      </c>
      <c r="F144">
        <v>0</v>
      </c>
      <c r="G144">
        <v>0</v>
      </c>
      <c r="H144" s="1">
        <v>45826</v>
      </c>
      <c r="I144">
        <v>25</v>
      </c>
      <c r="L144" s="9" t="s">
        <v>185</v>
      </c>
    </row>
    <row r="145" spans="1:12" x14ac:dyDescent="0.2">
      <c r="A145">
        <v>20250618</v>
      </c>
      <c r="B145" t="s">
        <v>12</v>
      </c>
      <c r="C145" t="s">
        <v>8</v>
      </c>
      <c r="D145">
        <v>9</v>
      </c>
      <c r="E145">
        <v>21.6666666666666</v>
      </c>
      <c r="F145">
        <v>0</v>
      </c>
      <c r="G145">
        <v>0</v>
      </c>
      <c r="H145" s="1">
        <v>45826</v>
      </c>
      <c r="I145">
        <v>25</v>
      </c>
      <c r="L145" s="9" t="s">
        <v>186</v>
      </c>
    </row>
    <row r="146" spans="1:12" x14ac:dyDescent="0.2">
      <c r="A146">
        <v>20250618</v>
      </c>
      <c r="B146" t="s">
        <v>9</v>
      </c>
      <c r="C146" t="s">
        <v>26</v>
      </c>
      <c r="D146">
        <v>1</v>
      </c>
      <c r="E146">
        <v>1</v>
      </c>
      <c r="F146">
        <v>0</v>
      </c>
      <c r="G146">
        <v>0</v>
      </c>
      <c r="H146" s="1">
        <v>45826</v>
      </c>
      <c r="I146">
        <v>25</v>
      </c>
      <c r="L146" s="9" t="s">
        <v>187</v>
      </c>
    </row>
    <row r="147" spans="1:12" x14ac:dyDescent="0.2">
      <c r="A147">
        <v>20250619</v>
      </c>
      <c r="B147" t="s">
        <v>12</v>
      </c>
      <c r="C147" t="s">
        <v>21</v>
      </c>
      <c r="D147">
        <v>1</v>
      </c>
      <c r="E147">
        <v>36</v>
      </c>
      <c r="F147">
        <v>0</v>
      </c>
      <c r="G147">
        <v>1</v>
      </c>
      <c r="H147" s="1">
        <v>45827</v>
      </c>
      <c r="I147">
        <v>25</v>
      </c>
      <c r="L147" s="9" t="s">
        <v>188</v>
      </c>
    </row>
    <row r="148" spans="1:12" x14ac:dyDescent="0.2">
      <c r="A148">
        <v>20250621</v>
      </c>
      <c r="B148" t="s">
        <v>9</v>
      </c>
      <c r="C148" t="s">
        <v>24</v>
      </c>
      <c r="D148">
        <v>1</v>
      </c>
      <c r="E148">
        <v>72</v>
      </c>
      <c r="F148">
        <v>0</v>
      </c>
      <c r="G148">
        <v>0</v>
      </c>
      <c r="H148" s="1">
        <v>45829</v>
      </c>
      <c r="I148">
        <v>25</v>
      </c>
      <c r="L148" s="9" t="s">
        <v>189</v>
      </c>
    </row>
    <row r="149" spans="1:12" x14ac:dyDescent="0.2">
      <c r="L149" s="9" t="s">
        <v>190</v>
      </c>
    </row>
    <row r="150" spans="1:12" x14ac:dyDescent="0.2">
      <c r="L150" s="9" t="s">
        <v>191</v>
      </c>
    </row>
    <row r="151" spans="1:12" x14ac:dyDescent="0.2">
      <c r="L151" s="9" t="s">
        <v>192</v>
      </c>
    </row>
    <row r="152" spans="1:12" x14ac:dyDescent="0.2">
      <c r="L152" s="9" t="s">
        <v>193</v>
      </c>
    </row>
    <row r="153" spans="1:12" x14ac:dyDescent="0.2">
      <c r="L153" s="9" t="s">
        <v>194</v>
      </c>
    </row>
    <row r="154" spans="1:12" x14ac:dyDescent="0.2">
      <c r="L154" s="9" t="s">
        <v>195</v>
      </c>
    </row>
    <row r="155" spans="1:12" x14ac:dyDescent="0.2">
      <c r="L155" s="9" t="s">
        <v>196</v>
      </c>
    </row>
    <row r="156" spans="1:12" x14ac:dyDescent="0.2">
      <c r="L156" s="9" t="s">
        <v>197</v>
      </c>
    </row>
    <row r="157" spans="1:12" x14ac:dyDescent="0.2">
      <c r="L157" s="9" t="s">
        <v>198</v>
      </c>
    </row>
    <row r="158" spans="1:12" x14ac:dyDescent="0.2">
      <c r="L158" s="9" t="s">
        <v>199</v>
      </c>
    </row>
    <row r="159" spans="1:12" x14ac:dyDescent="0.2">
      <c r="L159" s="9" t="s">
        <v>200</v>
      </c>
    </row>
    <row r="160" spans="1:12" x14ac:dyDescent="0.2">
      <c r="L160" s="9" t="s">
        <v>201</v>
      </c>
    </row>
    <row r="161" spans="12:12" x14ac:dyDescent="0.2">
      <c r="L161" s="9" t="s">
        <v>202</v>
      </c>
    </row>
    <row r="162" spans="12:12" x14ac:dyDescent="0.2">
      <c r="L162" s="9" t="s">
        <v>203</v>
      </c>
    </row>
    <row r="163" spans="12:12" x14ac:dyDescent="0.2">
      <c r="L163" s="9" t="s">
        <v>204</v>
      </c>
    </row>
    <row r="164" spans="12:12" x14ac:dyDescent="0.2">
      <c r="L164" s="9" t="s">
        <v>205</v>
      </c>
    </row>
    <row r="165" spans="12:12" x14ac:dyDescent="0.2">
      <c r="L165" s="9" t="s">
        <v>206</v>
      </c>
    </row>
    <row r="166" spans="12:12" x14ac:dyDescent="0.2">
      <c r="L166" s="9" t="s">
        <v>207</v>
      </c>
    </row>
    <row r="167" spans="12:12" x14ac:dyDescent="0.2">
      <c r="L167" s="9" t="s">
        <v>208</v>
      </c>
    </row>
    <row r="168" spans="12:12" x14ac:dyDescent="0.2">
      <c r="L168" s="9" t="s">
        <v>209</v>
      </c>
    </row>
    <row r="169" spans="12:12" x14ac:dyDescent="0.2">
      <c r="L169" s="9" t="s">
        <v>210</v>
      </c>
    </row>
    <row r="170" spans="12:12" x14ac:dyDescent="0.2">
      <c r="L170" s="9" t="s">
        <v>211</v>
      </c>
    </row>
    <row r="171" spans="12:12" x14ac:dyDescent="0.2">
      <c r="L171" s="9" t="s">
        <v>212</v>
      </c>
    </row>
    <row r="172" spans="12:12" x14ac:dyDescent="0.2">
      <c r="L172" s="9" t="s">
        <v>213</v>
      </c>
    </row>
    <row r="173" spans="12:12" x14ac:dyDescent="0.2">
      <c r="L173" s="9" t="s">
        <v>214</v>
      </c>
    </row>
    <row r="174" spans="12:12" x14ac:dyDescent="0.2">
      <c r="L174" s="9" t="s">
        <v>215</v>
      </c>
    </row>
    <row r="175" spans="12:12" x14ac:dyDescent="0.2">
      <c r="L175" s="9" t="s">
        <v>216</v>
      </c>
    </row>
    <row r="176" spans="12:12" x14ac:dyDescent="0.2">
      <c r="L176" s="9" t="s">
        <v>217</v>
      </c>
    </row>
    <row r="177" spans="12:12" x14ac:dyDescent="0.2">
      <c r="L177" s="9" t="s">
        <v>218</v>
      </c>
    </row>
    <row r="178" spans="12:12" x14ac:dyDescent="0.2">
      <c r="L178" s="9" t="s">
        <v>219</v>
      </c>
    </row>
    <row r="179" spans="12:12" x14ac:dyDescent="0.2">
      <c r="L179" s="9" t="s">
        <v>220</v>
      </c>
    </row>
    <row r="180" spans="12:12" x14ac:dyDescent="0.2">
      <c r="L180" s="9" t="str">
        <f t="shared" ref="L180" si="0">TEXT(DATE(2025,1,1)+ROW()-1,"YYYYMMDD")</f>
        <v>20250629</v>
      </c>
    </row>
    <row r="181" spans="12:12" x14ac:dyDescent="0.2">
      <c r="L181" s="8"/>
    </row>
    <row r="182" spans="12:12" x14ac:dyDescent="0.2">
      <c r="L182" s="8"/>
    </row>
    <row r="183" spans="12:12" x14ac:dyDescent="0.2">
      <c r="L183" s="8"/>
    </row>
    <row r="184" spans="12:12" x14ac:dyDescent="0.2">
      <c r="L184" s="8"/>
    </row>
    <row r="185" spans="12:12" x14ac:dyDescent="0.2">
      <c r="L185" s="8"/>
    </row>
    <row r="186" spans="12:12" x14ac:dyDescent="0.2">
      <c r="L186" s="8"/>
    </row>
    <row r="187" spans="12:12" x14ac:dyDescent="0.2">
      <c r="L187" s="8"/>
    </row>
    <row r="188" spans="12:12" x14ac:dyDescent="0.2">
      <c r="L188" s="8"/>
    </row>
    <row r="189" spans="12:12" x14ac:dyDescent="0.2">
      <c r="L189" s="8"/>
    </row>
    <row r="190" spans="12:12" x14ac:dyDescent="0.2">
      <c r="L190" s="8"/>
    </row>
    <row r="191" spans="12:12" x14ac:dyDescent="0.2">
      <c r="L191" s="8"/>
    </row>
    <row r="192" spans="12:12" x14ac:dyDescent="0.2">
      <c r="L192" s="8"/>
    </row>
    <row r="193" spans="12:12" x14ac:dyDescent="0.2">
      <c r="L193" s="8"/>
    </row>
    <row r="194" spans="12:12" x14ac:dyDescent="0.2">
      <c r="L194" s="8"/>
    </row>
    <row r="195" spans="12:12" x14ac:dyDescent="0.2">
      <c r="L195" s="8"/>
    </row>
    <row r="196" spans="12:12" x14ac:dyDescent="0.2">
      <c r="L196" s="8"/>
    </row>
    <row r="197" spans="12:12" x14ac:dyDescent="0.2">
      <c r="L197" s="8"/>
    </row>
    <row r="198" spans="12:12" x14ac:dyDescent="0.2">
      <c r="L198" s="8"/>
    </row>
    <row r="199" spans="12:12" x14ac:dyDescent="0.2">
      <c r="L199" s="8"/>
    </row>
    <row r="200" spans="12:12" x14ac:dyDescent="0.2">
      <c r="L200" s="8"/>
    </row>
    <row r="201" spans="12:12" x14ac:dyDescent="0.2">
      <c r="L201" s="8"/>
    </row>
    <row r="202" spans="12:12" x14ac:dyDescent="0.2">
      <c r="L202" s="8"/>
    </row>
    <row r="203" spans="12:12" x14ac:dyDescent="0.2">
      <c r="L203" s="8"/>
    </row>
    <row r="204" spans="12:12" x14ac:dyDescent="0.2">
      <c r="L204" s="8"/>
    </row>
    <row r="205" spans="12:12" x14ac:dyDescent="0.2">
      <c r="L205" s="8"/>
    </row>
    <row r="206" spans="12:12" x14ac:dyDescent="0.2">
      <c r="L206" s="8"/>
    </row>
    <row r="207" spans="12:12" x14ac:dyDescent="0.2">
      <c r="L207" s="8"/>
    </row>
    <row r="208" spans="12:12" x14ac:dyDescent="0.2">
      <c r="L208" s="8"/>
    </row>
    <row r="209" spans="12:12" x14ac:dyDescent="0.2">
      <c r="L209" s="8"/>
    </row>
    <row r="210" spans="12:12" x14ac:dyDescent="0.2">
      <c r="L210" s="8"/>
    </row>
    <row r="211" spans="12:12" x14ac:dyDescent="0.2">
      <c r="L211" s="8"/>
    </row>
    <row r="212" spans="12:12" x14ac:dyDescent="0.2">
      <c r="L212" s="8"/>
    </row>
    <row r="213" spans="12:12" x14ac:dyDescent="0.2">
      <c r="L213" s="8"/>
    </row>
    <row r="214" spans="12:12" x14ac:dyDescent="0.2">
      <c r="L214" s="8"/>
    </row>
    <row r="215" spans="12:12" x14ac:dyDescent="0.2">
      <c r="L215" s="8"/>
    </row>
    <row r="216" spans="12:12" x14ac:dyDescent="0.2">
      <c r="L216" s="8"/>
    </row>
    <row r="217" spans="12:12" x14ac:dyDescent="0.2">
      <c r="L217" s="8"/>
    </row>
    <row r="218" spans="12:12" x14ac:dyDescent="0.2">
      <c r="L218" s="8"/>
    </row>
    <row r="219" spans="12:12" x14ac:dyDescent="0.2">
      <c r="L219" s="8"/>
    </row>
    <row r="220" spans="12:12" x14ac:dyDescent="0.2">
      <c r="L220" s="8"/>
    </row>
    <row r="221" spans="12:12" x14ac:dyDescent="0.2">
      <c r="L221" s="8"/>
    </row>
    <row r="222" spans="12:12" x14ac:dyDescent="0.2">
      <c r="L222" s="8"/>
    </row>
    <row r="223" spans="12:12" x14ac:dyDescent="0.2">
      <c r="L223" s="8"/>
    </row>
    <row r="224" spans="12:12" x14ac:dyDescent="0.2">
      <c r="L224" s="8"/>
    </row>
    <row r="225" spans="12:12" x14ac:dyDescent="0.2">
      <c r="L225" s="8"/>
    </row>
    <row r="226" spans="12:12" x14ac:dyDescent="0.2">
      <c r="L226" s="8"/>
    </row>
    <row r="227" spans="12:12" x14ac:dyDescent="0.2">
      <c r="L227" s="8"/>
    </row>
    <row r="228" spans="12:12" x14ac:dyDescent="0.2">
      <c r="L228" s="8"/>
    </row>
    <row r="229" spans="12:12" x14ac:dyDescent="0.2">
      <c r="L229" s="8"/>
    </row>
    <row r="230" spans="12:12" x14ac:dyDescent="0.2">
      <c r="L230" s="8"/>
    </row>
    <row r="231" spans="12:12" x14ac:dyDescent="0.2">
      <c r="L231" s="8"/>
    </row>
    <row r="232" spans="12:12" x14ac:dyDescent="0.2">
      <c r="L232" s="8"/>
    </row>
    <row r="233" spans="12:12" x14ac:dyDescent="0.2">
      <c r="L233" s="8"/>
    </row>
    <row r="234" spans="12:12" x14ac:dyDescent="0.2">
      <c r="L234" s="8"/>
    </row>
    <row r="235" spans="12:12" x14ac:dyDescent="0.2">
      <c r="L235" s="8"/>
    </row>
    <row r="236" spans="12:12" x14ac:dyDescent="0.2">
      <c r="L236" s="8"/>
    </row>
    <row r="237" spans="12:12" x14ac:dyDescent="0.2">
      <c r="L237" s="8"/>
    </row>
    <row r="238" spans="12:12" x14ac:dyDescent="0.2">
      <c r="L238" s="8"/>
    </row>
    <row r="239" spans="12:12" x14ac:dyDescent="0.2">
      <c r="L239" s="8"/>
    </row>
    <row r="240" spans="12:12" x14ac:dyDescent="0.2">
      <c r="L240" s="8"/>
    </row>
    <row r="241" spans="12:12" x14ac:dyDescent="0.2">
      <c r="L241" s="8"/>
    </row>
    <row r="242" spans="12:12" x14ac:dyDescent="0.2">
      <c r="L242" s="8"/>
    </row>
    <row r="243" spans="12:12" x14ac:dyDescent="0.2">
      <c r="L243" s="8"/>
    </row>
    <row r="244" spans="12:12" x14ac:dyDescent="0.2">
      <c r="L244" s="8"/>
    </row>
    <row r="245" spans="12:12" x14ac:dyDescent="0.2">
      <c r="L245" s="8"/>
    </row>
    <row r="246" spans="12:12" x14ac:dyDescent="0.2">
      <c r="L246" s="8"/>
    </row>
    <row r="247" spans="12:12" x14ac:dyDescent="0.2">
      <c r="L247" s="8"/>
    </row>
    <row r="248" spans="12:12" x14ac:dyDescent="0.2">
      <c r="L248" s="8"/>
    </row>
    <row r="249" spans="12:12" x14ac:dyDescent="0.2">
      <c r="L249" s="8"/>
    </row>
    <row r="250" spans="12:12" x14ac:dyDescent="0.2">
      <c r="L250" s="8"/>
    </row>
    <row r="251" spans="12:12" x14ac:dyDescent="0.2">
      <c r="L251" s="8"/>
    </row>
    <row r="252" spans="12:12" x14ac:dyDescent="0.2">
      <c r="L252" s="8"/>
    </row>
    <row r="253" spans="12:12" x14ac:dyDescent="0.2">
      <c r="L253" s="8"/>
    </row>
    <row r="254" spans="12:12" x14ac:dyDescent="0.2">
      <c r="L254" s="8"/>
    </row>
    <row r="255" spans="12:12" x14ac:dyDescent="0.2">
      <c r="L255" s="8"/>
    </row>
    <row r="256" spans="12:12" x14ac:dyDescent="0.2">
      <c r="L256" s="8"/>
    </row>
    <row r="257" spans="12:12" x14ac:dyDescent="0.2">
      <c r="L257" s="8"/>
    </row>
    <row r="258" spans="12:12" x14ac:dyDescent="0.2">
      <c r="L258" s="8"/>
    </row>
    <row r="259" spans="12:12" x14ac:dyDescent="0.2">
      <c r="L259" s="8"/>
    </row>
    <row r="260" spans="12:12" x14ac:dyDescent="0.2">
      <c r="L260" s="8"/>
    </row>
    <row r="261" spans="12:12" x14ac:dyDescent="0.2">
      <c r="L261" s="8"/>
    </row>
    <row r="262" spans="12:12" x14ac:dyDescent="0.2">
      <c r="L262" s="8"/>
    </row>
    <row r="263" spans="12:12" x14ac:dyDescent="0.2">
      <c r="L263" s="8"/>
    </row>
    <row r="264" spans="12:12" x14ac:dyDescent="0.2">
      <c r="L264" s="8"/>
    </row>
    <row r="265" spans="12:12" x14ac:dyDescent="0.2">
      <c r="L265" s="8"/>
    </row>
    <row r="266" spans="12:12" x14ac:dyDescent="0.2">
      <c r="L266" s="8"/>
    </row>
    <row r="267" spans="12:12" x14ac:dyDescent="0.2">
      <c r="L267" s="8"/>
    </row>
    <row r="268" spans="12:12" x14ac:dyDescent="0.2">
      <c r="L268" s="8"/>
    </row>
    <row r="269" spans="12:12" x14ac:dyDescent="0.2">
      <c r="L269" s="8"/>
    </row>
    <row r="270" spans="12:12" x14ac:dyDescent="0.2">
      <c r="L270" s="8"/>
    </row>
    <row r="271" spans="12:12" x14ac:dyDescent="0.2">
      <c r="L271" s="8"/>
    </row>
    <row r="272" spans="12:12" x14ac:dyDescent="0.2">
      <c r="L272" s="8"/>
    </row>
    <row r="273" spans="12:12" x14ac:dyDescent="0.2">
      <c r="L273" s="8"/>
    </row>
    <row r="274" spans="12:12" x14ac:dyDescent="0.2">
      <c r="L274" s="8"/>
    </row>
    <row r="275" spans="12:12" x14ac:dyDescent="0.2">
      <c r="L275" s="8"/>
    </row>
    <row r="276" spans="12:12" x14ac:dyDescent="0.2">
      <c r="L276" s="8"/>
    </row>
    <row r="277" spans="12:12" x14ac:dyDescent="0.2">
      <c r="L277" s="8"/>
    </row>
    <row r="278" spans="12:12" x14ac:dyDescent="0.2">
      <c r="L278" s="8"/>
    </row>
    <row r="279" spans="12:12" x14ac:dyDescent="0.2">
      <c r="L279" s="8"/>
    </row>
    <row r="280" spans="12:12" x14ac:dyDescent="0.2">
      <c r="L280" s="8"/>
    </row>
    <row r="281" spans="12:12" x14ac:dyDescent="0.2">
      <c r="L281" s="8"/>
    </row>
    <row r="282" spans="12:12" x14ac:dyDescent="0.2">
      <c r="L282" s="8"/>
    </row>
    <row r="283" spans="12:12" x14ac:dyDescent="0.2">
      <c r="L283" s="8"/>
    </row>
    <row r="284" spans="12:12" x14ac:dyDescent="0.2">
      <c r="L284" s="8"/>
    </row>
    <row r="285" spans="12:12" x14ac:dyDescent="0.2">
      <c r="L285" s="8"/>
    </row>
    <row r="286" spans="12:12" x14ac:dyDescent="0.2">
      <c r="L286" s="8"/>
    </row>
    <row r="287" spans="12:12" x14ac:dyDescent="0.2">
      <c r="L287" s="8"/>
    </row>
    <row r="288" spans="12:12" x14ac:dyDescent="0.2">
      <c r="L288" s="8"/>
    </row>
    <row r="289" spans="12:12" x14ac:dyDescent="0.2">
      <c r="L289" s="8"/>
    </row>
    <row r="290" spans="12:12" x14ac:dyDescent="0.2">
      <c r="L290" s="8"/>
    </row>
    <row r="291" spans="12:12" x14ac:dyDescent="0.2">
      <c r="L291" s="8"/>
    </row>
    <row r="292" spans="12:12" x14ac:dyDescent="0.2">
      <c r="L292" s="8"/>
    </row>
    <row r="293" spans="12:12" x14ac:dyDescent="0.2">
      <c r="L293" s="8"/>
    </row>
    <row r="294" spans="12:12" x14ac:dyDescent="0.2">
      <c r="L294" s="8"/>
    </row>
    <row r="295" spans="12:12" x14ac:dyDescent="0.2">
      <c r="L295" s="8"/>
    </row>
    <row r="296" spans="12:12" x14ac:dyDescent="0.2">
      <c r="L296" s="8"/>
    </row>
    <row r="297" spans="12:12" x14ac:dyDescent="0.2">
      <c r="L297" s="8"/>
    </row>
    <row r="298" spans="12:12" x14ac:dyDescent="0.2">
      <c r="L298" s="8"/>
    </row>
    <row r="299" spans="12:12" x14ac:dyDescent="0.2">
      <c r="L299" s="8"/>
    </row>
    <row r="300" spans="12:12" x14ac:dyDescent="0.2">
      <c r="L300" s="8"/>
    </row>
    <row r="301" spans="12:12" x14ac:dyDescent="0.2">
      <c r="L301" s="8"/>
    </row>
    <row r="302" spans="12:12" x14ac:dyDescent="0.2">
      <c r="L302" s="8"/>
    </row>
    <row r="303" spans="12:12" x14ac:dyDescent="0.2">
      <c r="L303" s="8"/>
    </row>
    <row r="304" spans="12:12" x14ac:dyDescent="0.2">
      <c r="L304" s="8"/>
    </row>
    <row r="305" spans="12:12" x14ac:dyDescent="0.2">
      <c r="L305" s="8"/>
    </row>
    <row r="306" spans="12:12" x14ac:dyDescent="0.2">
      <c r="L306" s="8"/>
    </row>
    <row r="307" spans="12:12" x14ac:dyDescent="0.2">
      <c r="L307" s="8"/>
    </row>
    <row r="308" spans="12:12" x14ac:dyDescent="0.2">
      <c r="L308" s="8"/>
    </row>
    <row r="309" spans="12:12" x14ac:dyDescent="0.2">
      <c r="L309" s="8"/>
    </row>
    <row r="310" spans="12:12" x14ac:dyDescent="0.2">
      <c r="L310" s="8"/>
    </row>
    <row r="311" spans="12:12" x14ac:dyDescent="0.2">
      <c r="L311" s="8"/>
    </row>
    <row r="312" spans="12:12" x14ac:dyDescent="0.2">
      <c r="L312" s="8"/>
    </row>
    <row r="313" spans="12:12" x14ac:dyDescent="0.2">
      <c r="L313" s="8"/>
    </row>
    <row r="314" spans="12:12" x14ac:dyDescent="0.2">
      <c r="L314" s="8"/>
    </row>
    <row r="315" spans="12:12" x14ac:dyDescent="0.2">
      <c r="L315" s="8"/>
    </row>
    <row r="316" spans="12:12" x14ac:dyDescent="0.2">
      <c r="L316" s="8"/>
    </row>
    <row r="317" spans="12:12" x14ac:dyDescent="0.2">
      <c r="L317" s="8"/>
    </row>
    <row r="318" spans="12:12" x14ac:dyDescent="0.2">
      <c r="L318" s="8"/>
    </row>
    <row r="319" spans="12:12" x14ac:dyDescent="0.2">
      <c r="L319" s="8"/>
    </row>
    <row r="320" spans="12:12" x14ac:dyDescent="0.2">
      <c r="L320" s="8"/>
    </row>
    <row r="321" spans="12:12" x14ac:dyDescent="0.2">
      <c r="L321" s="8"/>
    </row>
    <row r="322" spans="12:12" x14ac:dyDescent="0.2">
      <c r="L322" s="8"/>
    </row>
    <row r="323" spans="12:12" x14ac:dyDescent="0.2">
      <c r="L323" s="8"/>
    </row>
    <row r="324" spans="12:12" x14ac:dyDescent="0.2">
      <c r="L324" s="8"/>
    </row>
    <row r="325" spans="12:12" x14ac:dyDescent="0.2">
      <c r="L325" s="8"/>
    </row>
    <row r="326" spans="12:12" x14ac:dyDescent="0.2">
      <c r="L326" s="8"/>
    </row>
    <row r="327" spans="12:12" x14ac:dyDescent="0.2">
      <c r="L327" s="8"/>
    </row>
    <row r="328" spans="12:12" x14ac:dyDescent="0.2">
      <c r="L328" s="8"/>
    </row>
    <row r="329" spans="12:12" x14ac:dyDescent="0.2">
      <c r="L329" s="8"/>
    </row>
    <row r="330" spans="12:12" x14ac:dyDescent="0.2">
      <c r="L330" s="8"/>
    </row>
    <row r="331" spans="12:12" x14ac:dyDescent="0.2">
      <c r="L331" s="8"/>
    </row>
    <row r="332" spans="12:12" x14ac:dyDescent="0.2">
      <c r="L332" s="8"/>
    </row>
    <row r="333" spans="12:12" x14ac:dyDescent="0.2">
      <c r="L333" s="8"/>
    </row>
    <row r="334" spans="12:12" x14ac:dyDescent="0.2">
      <c r="L334" s="8"/>
    </row>
    <row r="335" spans="12:12" x14ac:dyDescent="0.2">
      <c r="L335" s="8"/>
    </row>
    <row r="336" spans="12:12" x14ac:dyDescent="0.2">
      <c r="L336" s="8"/>
    </row>
    <row r="337" spans="12:12" x14ac:dyDescent="0.2">
      <c r="L337" s="8"/>
    </row>
    <row r="338" spans="12:12" x14ac:dyDescent="0.2">
      <c r="L338" s="8"/>
    </row>
    <row r="339" spans="12:12" x14ac:dyDescent="0.2">
      <c r="L339" s="8"/>
    </row>
    <row r="340" spans="12:12" x14ac:dyDescent="0.2">
      <c r="L340" s="8"/>
    </row>
    <row r="341" spans="12:12" x14ac:dyDescent="0.2">
      <c r="L341" s="8"/>
    </row>
    <row r="342" spans="12:12" x14ac:dyDescent="0.2">
      <c r="L342" s="8"/>
    </row>
    <row r="343" spans="12:12" x14ac:dyDescent="0.2">
      <c r="L343" s="8"/>
    </row>
    <row r="344" spans="12:12" x14ac:dyDescent="0.2">
      <c r="L344" s="8"/>
    </row>
    <row r="345" spans="12:12" x14ac:dyDescent="0.2">
      <c r="L345" s="8"/>
    </row>
    <row r="346" spans="12:12" x14ac:dyDescent="0.2">
      <c r="L346" s="8"/>
    </row>
    <row r="347" spans="12:12" x14ac:dyDescent="0.2">
      <c r="L347" s="8"/>
    </row>
    <row r="348" spans="12:12" x14ac:dyDescent="0.2">
      <c r="L348" s="8"/>
    </row>
    <row r="349" spans="12:12" x14ac:dyDescent="0.2">
      <c r="L349" s="8"/>
    </row>
    <row r="350" spans="12:12" x14ac:dyDescent="0.2">
      <c r="L350" s="8"/>
    </row>
    <row r="351" spans="12:12" x14ac:dyDescent="0.2">
      <c r="L351" s="8"/>
    </row>
    <row r="352" spans="12:12" x14ac:dyDescent="0.2">
      <c r="L352" s="8"/>
    </row>
    <row r="353" spans="12:12" x14ac:dyDescent="0.2">
      <c r="L353" s="8"/>
    </row>
    <row r="354" spans="12:12" x14ac:dyDescent="0.2">
      <c r="L354" s="8"/>
    </row>
    <row r="355" spans="12:12" x14ac:dyDescent="0.2">
      <c r="L355" s="8"/>
    </row>
    <row r="356" spans="12:12" x14ac:dyDescent="0.2">
      <c r="L356" s="8"/>
    </row>
    <row r="357" spans="12:12" x14ac:dyDescent="0.2">
      <c r="L357" s="8"/>
    </row>
    <row r="358" spans="12:12" x14ac:dyDescent="0.2">
      <c r="L358" s="8"/>
    </row>
    <row r="359" spans="12:12" x14ac:dyDescent="0.2">
      <c r="L359" s="8"/>
    </row>
    <row r="360" spans="12:12" x14ac:dyDescent="0.2">
      <c r="L360" s="8"/>
    </row>
    <row r="361" spans="12:12" x14ac:dyDescent="0.2">
      <c r="L361" s="8"/>
    </row>
    <row r="362" spans="12:12" x14ac:dyDescent="0.2">
      <c r="L362" s="8"/>
    </row>
    <row r="363" spans="12:12" x14ac:dyDescent="0.2">
      <c r="L363" s="8"/>
    </row>
    <row r="364" spans="12:12" x14ac:dyDescent="0.2">
      <c r="L364" s="8"/>
    </row>
    <row r="365" spans="12:12" x14ac:dyDescent="0.2">
      <c r="L365" s="8"/>
    </row>
    <row r="366" spans="12:12" x14ac:dyDescent="0.2">
      <c r="L366" s="8"/>
    </row>
    <row r="367" spans="12:12" x14ac:dyDescent="0.2">
      <c r="L367" s="8"/>
    </row>
    <row r="368" spans="12:12" x14ac:dyDescent="0.2">
      <c r="L368" s="8"/>
    </row>
    <row r="369" spans="12:12" x14ac:dyDescent="0.2">
      <c r="L369" s="8"/>
    </row>
    <row r="370" spans="12:12" x14ac:dyDescent="0.2">
      <c r="L370" s="8"/>
    </row>
    <row r="371" spans="12:12" x14ac:dyDescent="0.2">
      <c r="L371" s="8"/>
    </row>
    <row r="372" spans="12:12" x14ac:dyDescent="0.2">
      <c r="L372" s="8"/>
    </row>
    <row r="373" spans="12:12" x14ac:dyDescent="0.2">
      <c r="L373" s="8"/>
    </row>
    <row r="374" spans="12:12" x14ac:dyDescent="0.2">
      <c r="L374" s="8"/>
    </row>
    <row r="375" spans="12:12" x14ac:dyDescent="0.2">
      <c r="L375" s="8"/>
    </row>
    <row r="376" spans="12:12" x14ac:dyDescent="0.2">
      <c r="L376" s="8"/>
    </row>
    <row r="377" spans="12:12" x14ac:dyDescent="0.2">
      <c r="L377" s="8"/>
    </row>
    <row r="378" spans="12:12" x14ac:dyDescent="0.2">
      <c r="L378" s="8"/>
    </row>
    <row r="379" spans="12:12" x14ac:dyDescent="0.2">
      <c r="L379" s="8"/>
    </row>
    <row r="380" spans="12:12" x14ac:dyDescent="0.2">
      <c r="L380" s="8"/>
    </row>
    <row r="381" spans="12:12" x14ac:dyDescent="0.2">
      <c r="L381" s="8"/>
    </row>
    <row r="382" spans="12:12" x14ac:dyDescent="0.2">
      <c r="L382" s="8"/>
    </row>
    <row r="383" spans="12:12" x14ac:dyDescent="0.2">
      <c r="L383" s="8"/>
    </row>
    <row r="384" spans="12:12" x14ac:dyDescent="0.2">
      <c r="L384" s="8"/>
    </row>
    <row r="385" spans="12:12" x14ac:dyDescent="0.2">
      <c r="L385" s="8"/>
    </row>
    <row r="386" spans="12:12" x14ac:dyDescent="0.2">
      <c r="L386" s="8"/>
    </row>
    <row r="387" spans="12:12" x14ac:dyDescent="0.2">
      <c r="L387" s="8"/>
    </row>
    <row r="388" spans="12:12" x14ac:dyDescent="0.2">
      <c r="L388" s="8"/>
    </row>
    <row r="389" spans="12:12" x14ac:dyDescent="0.2">
      <c r="L389" s="8"/>
    </row>
    <row r="390" spans="12:12" x14ac:dyDescent="0.2">
      <c r="L390" s="8"/>
    </row>
    <row r="391" spans="12:12" x14ac:dyDescent="0.2">
      <c r="L391" s="8"/>
    </row>
    <row r="392" spans="12:12" x14ac:dyDescent="0.2">
      <c r="L392" s="8"/>
    </row>
    <row r="393" spans="12:12" x14ac:dyDescent="0.2">
      <c r="L393" s="8"/>
    </row>
    <row r="394" spans="12:12" x14ac:dyDescent="0.2">
      <c r="L394" s="8"/>
    </row>
    <row r="395" spans="12:12" x14ac:dyDescent="0.2">
      <c r="L395" s="8"/>
    </row>
    <row r="396" spans="12:12" x14ac:dyDescent="0.2">
      <c r="L396" s="8"/>
    </row>
    <row r="397" spans="12:12" x14ac:dyDescent="0.2">
      <c r="L397" s="8"/>
    </row>
    <row r="398" spans="12:12" x14ac:dyDescent="0.2">
      <c r="L398" s="8"/>
    </row>
    <row r="399" spans="12:12" x14ac:dyDescent="0.2">
      <c r="L399" s="8"/>
    </row>
    <row r="400" spans="12:12" x14ac:dyDescent="0.2">
      <c r="L400" s="8"/>
    </row>
    <row r="401" spans="12:12" x14ac:dyDescent="0.2">
      <c r="L401" s="8"/>
    </row>
    <row r="402" spans="12:12" x14ac:dyDescent="0.2">
      <c r="L402" s="8"/>
    </row>
    <row r="403" spans="12:12" x14ac:dyDescent="0.2">
      <c r="L403" s="8"/>
    </row>
    <row r="404" spans="12:12" x14ac:dyDescent="0.2">
      <c r="L404" s="8"/>
    </row>
    <row r="405" spans="12:12" x14ac:dyDescent="0.2">
      <c r="L405" s="8"/>
    </row>
    <row r="406" spans="12:12" x14ac:dyDescent="0.2">
      <c r="L406" s="8"/>
    </row>
    <row r="407" spans="12:12" x14ac:dyDescent="0.2">
      <c r="L407" s="8"/>
    </row>
    <row r="408" spans="12:12" x14ac:dyDescent="0.2">
      <c r="L408" s="8"/>
    </row>
    <row r="409" spans="12:12" x14ac:dyDescent="0.2">
      <c r="L409" s="8"/>
    </row>
    <row r="410" spans="12:12" x14ac:dyDescent="0.2">
      <c r="L410" s="8"/>
    </row>
    <row r="411" spans="12:12" x14ac:dyDescent="0.2">
      <c r="L411" s="8"/>
    </row>
    <row r="412" spans="12:12" x14ac:dyDescent="0.2">
      <c r="L412" s="8"/>
    </row>
    <row r="413" spans="12:12" x14ac:dyDescent="0.2">
      <c r="L413" s="8"/>
    </row>
    <row r="414" spans="12:12" x14ac:dyDescent="0.2">
      <c r="L414" s="8"/>
    </row>
    <row r="415" spans="12:12" x14ac:dyDescent="0.2">
      <c r="L415" s="8"/>
    </row>
    <row r="416" spans="12:12" x14ac:dyDescent="0.2">
      <c r="L416" s="8"/>
    </row>
    <row r="417" spans="12:12" x14ac:dyDescent="0.2">
      <c r="L417" s="8"/>
    </row>
    <row r="418" spans="12:12" x14ac:dyDescent="0.2">
      <c r="L418" s="8"/>
    </row>
    <row r="419" spans="12:12" x14ac:dyDescent="0.2">
      <c r="L419" s="8"/>
    </row>
    <row r="420" spans="12:12" x14ac:dyDescent="0.2">
      <c r="L420" s="8"/>
    </row>
    <row r="421" spans="12:12" x14ac:dyDescent="0.2">
      <c r="L421" s="8"/>
    </row>
    <row r="422" spans="12:12" x14ac:dyDescent="0.2">
      <c r="L422" s="8"/>
    </row>
    <row r="423" spans="12:12" x14ac:dyDescent="0.2">
      <c r="L423" s="8"/>
    </row>
    <row r="424" spans="12:12" x14ac:dyDescent="0.2">
      <c r="L424" s="8"/>
    </row>
    <row r="425" spans="12:12" x14ac:dyDescent="0.2">
      <c r="L425" s="8"/>
    </row>
    <row r="426" spans="12:12" x14ac:dyDescent="0.2">
      <c r="L426" s="8"/>
    </row>
    <row r="427" spans="12:12" x14ac:dyDescent="0.2">
      <c r="L427" s="8"/>
    </row>
    <row r="428" spans="12:12" x14ac:dyDescent="0.2">
      <c r="L428" s="8"/>
    </row>
    <row r="429" spans="12:12" x14ac:dyDescent="0.2">
      <c r="L429" s="8"/>
    </row>
    <row r="430" spans="12:12" x14ac:dyDescent="0.2">
      <c r="L430" s="8"/>
    </row>
    <row r="431" spans="12:12" x14ac:dyDescent="0.2">
      <c r="L431" s="8"/>
    </row>
    <row r="432" spans="12:12" x14ac:dyDescent="0.2">
      <c r="L432" s="8"/>
    </row>
    <row r="433" spans="12:12" x14ac:dyDescent="0.2">
      <c r="L433" s="8"/>
    </row>
    <row r="434" spans="12:12" x14ac:dyDescent="0.2">
      <c r="L434" s="8"/>
    </row>
    <row r="435" spans="12:12" x14ac:dyDescent="0.2">
      <c r="L435" s="8"/>
    </row>
    <row r="436" spans="12:12" x14ac:dyDescent="0.2">
      <c r="L436" s="8"/>
    </row>
    <row r="437" spans="12:12" x14ac:dyDescent="0.2">
      <c r="L437" s="8"/>
    </row>
    <row r="438" spans="12:12" x14ac:dyDescent="0.2">
      <c r="L438" s="8"/>
    </row>
    <row r="439" spans="12:12" x14ac:dyDescent="0.2">
      <c r="L439" s="8"/>
    </row>
    <row r="440" spans="12:12" x14ac:dyDescent="0.2">
      <c r="L440" s="8"/>
    </row>
    <row r="441" spans="12:12" x14ac:dyDescent="0.2">
      <c r="L441" s="8"/>
    </row>
    <row r="442" spans="12:12" x14ac:dyDescent="0.2">
      <c r="L442" s="8"/>
    </row>
    <row r="443" spans="12:12" x14ac:dyDescent="0.2">
      <c r="L443" s="8"/>
    </row>
    <row r="444" spans="12:12" x14ac:dyDescent="0.2">
      <c r="L444" s="8"/>
    </row>
    <row r="445" spans="12:12" x14ac:dyDescent="0.2">
      <c r="L445" s="8"/>
    </row>
    <row r="446" spans="12:12" x14ac:dyDescent="0.2">
      <c r="L446" s="8"/>
    </row>
    <row r="447" spans="12:12" x14ac:dyDescent="0.2">
      <c r="L447" s="8"/>
    </row>
    <row r="448" spans="12:12" x14ac:dyDescent="0.2">
      <c r="L448" s="8"/>
    </row>
    <row r="449" spans="12:12" x14ac:dyDescent="0.2">
      <c r="L449" s="8"/>
    </row>
    <row r="450" spans="12:12" x14ac:dyDescent="0.2">
      <c r="L450" s="8"/>
    </row>
    <row r="451" spans="12:12" x14ac:dyDescent="0.2">
      <c r="L451" s="8"/>
    </row>
    <row r="452" spans="12:12" x14ac:dyDescent="0.2">
      <c r="L452" s="8"/>
    </row>
    <row r="453" spans="12:12" x14ac:dyDescent="0.2">
      <c r="L453" s="8"/>
    </row>
    <row r="454" spans="12:12" x14ac:dyDescent="0.2">
      <c r="L454" s="8"/>
    </row>
    <row r="455" spans="12:12" x14ac:dyDescent="0.2">
      <c r="L455" s="8"/>
    </row>
    <row r="456" spans="12:12" x14ac:dyDescent="0.2">
      <c r="L456" s="8"/>
    </row>
    <row r="457" spans="12:12" x14ac:dyDescent="0.2">
      <c r="L457" s="8"/>
    </row>
    <row r="458" spans="12:12" x14ac:dyDescent="0.2">
      <c r="L458" s="8"/>
    </row>
    <row r="459" spans="12:12" x14ac:dyDescent="0.2">
      <c r="L459" s="8"/>
    </row>
    <row r="460" spans="12:12" x14ac:dyDescent="0.2">
      <c r="L460" s="8"/>
    </row>
    <row r="461" spans="12:12" x14ac:dyDescent="0.2">
      <c r="L461" s="8"/>
    </row>
    <row r="462" spans="12:12" x14ac:dyDescent="0.2">
      <c r="L462" s="8"/>
    </row>
    <row r="463" spans="12:12" x14ac:dyDescent="0.2">
      <c r="L463" s="8"/>
    </row>
    <row r="464" spans="12:12" x14ac:dyDescent="0.2">
      <c r="L464" s="8"/>
    </row>
    <row r="465" spans="12:12" x14ac:dyDescent="0.2">
      <c r="L465" s="8"/>
    </row>
    <row r="466" spans="12:12" x14ac:dyDescent="0.2">
      <c r="L466" s="8"/>
    </row>
    <row r="467" spans="12:12" x14ac:dyDescent="0.2">
      <c r="L467" s="8"/>
    </row>
    <row r="468" spans="12:12" x14ac:dyDescent="0.2">
      <c r="L468" s="8"/>
    </row>
    <row r="469" spans="12:12" x14ac:dyDescent="0.2">
      <c r="L469" s="8"/>
    </row>
    <row r="470" spans="12:12" x14ac:dyDescent="0.2">
      <c r="L470" s="8"/>
    </row>
    <row r="471" spans="12:12" x14ac:dyDescent="0.2">
      <c r="L471" s="8"/>
    </row>
    <row r="472" spans="12:12" x14ac:dyDescent="0.2">
      <c r="L472" s="8"/>
    </row>
    <row r="473" spans="12:12" x14ac:dyDescent="0.2">
      <c r="L473" s="8"/>
    </row>
    <row r="474" spans="12:12" x14ac:dyDescent="0.2">
      <c r="L474" s="8"/>
    </row>
    <row r="475" spans="12:12" x14ac:dyDescent="0.2">
      <c r="L475" s="8"/>
    </row>
    <row r="476" spans="12:12" x14ac:dyDescent="0.2">
      <c r="L476" s="8"/>
    </row>
    <row r="477" spans="12:12" x14ac:dyDescent="0.2">
      <c r="L477" s="8"/>
    </row>
    <row r="478" spans="12:12" x14ac:dyDescent="0.2">
      <c r="L478" s="8"/>
    </row>
    <row r="479" spans="12:12" x14ac:dyDescent="0.2">
      <c r="L479" s="8"/>
    </row>
    <row r="480" spans="12:12" x14ac:dyDescent="0.2">
      <c r="L480" s="8"/>
    </row>
    <row r="481" spans="12:12" x14ac:dyDescent="0.2">
      <c r="L481" s="8"/>
    </row>
    <row r="482" spans="12:12" x14ac:dyDescent="0.2">
      <c r="L482" s="8"/>
    </row>
    <row r="483" spans="12:12" x14ac:dyDescent="0.2">
      <c r="L483" s="8"/>
    </row>
    <row r="484" spans="12:12" x14ac:dyDescent="0.2">
      <c r="L484" s="8"/>
    </row>
    <row r="485" spans="12:12" x14ac:dyDescent="0.2">
      <c r="L485" s="8"/>
    </row>
    <row r="486" spans="12:12" x14ac:dyDescent="0.2">
      <c r="L486" s="8"/>
    </row>
    <row r="487" spans="12:12" x14ac:dyDescent="0.2">
      <c r="L487" s="8"/>
    </row>
    <row r="488" spans="12:12" x14ac:dyDescent="0.2">
      <c r="L488" s="8"/>
    </row>
    <row r="489" spans="12:12" x14ac:dyDescent="0.2">
      <c r="L489" s="8"/>
    </row>
    <row r="490" spans="12:12" x14ac:dyDescent="0.2">
      <c r="L490" s="8"/>
    </row>
    <row r="491" spans="12:12" x14ac:dyDescent="0.2">
      <c r="L491" s="8"/>
    </row>
    <row r="492" spans="12:12" x14ac:dyDescent="0.2">
      <c r="L492" s="8"/>
    </row>
    <row r="493" spans="12:12" x14ac:dyDescent="0.2">
      <c r="L493" s="8"/>
    </row>
    <row r="494" spans="12:12" x14ac:dyDescent="0.2">
      <c r="L494" s="8"/>
    </row>
    <row r="495" spans="12:12" x14ac:dyDescent="0.2">
      <c r="L495" s="8"/>
    </row>
    <row r="496" spans="12:12" x14ac:dyDescent="0.2">
      <c r="L496" s="8"/>
    </row>
    <row r="497" spans="12:12" x14ac:dyDescent="0.2">
      <c r="L497" s="8"/>
    </row>
    <row r="498" spans="12:12" x14ac:dyDescent="0.2">
      <c r="L498" s="8"/>
    </row>
    <row r="499" spans="12:12" x14ac:dyDescent="0.2">
      <c r="L499" s="8"/>
    </row>
    <row r="500" spans="12:12" x14ac:dyDescent="0.2">
      <c r="L500" s="8"/>
    </row>
    <row r="501" spans="12:12" x14ac:dyDescent="0.2">
      <c r="L501" s="8"/>
    </row>
    <row r="502" spans="12:12" x14ac:dyDescent="0.2">
      <c r="L502" s="8"/>
    </row>
    <row r="503" spans="12:12" x14ac:dyDescent="0.2">
      <c r="L503" s="8"/>
    </row>
    <row r="504" spans="12:12" x14ac:dyDescent="0.2">
      <c r="L504" s="8"/>
    </row>
    <row r="505" spans="12:12" x14ac:dyDescent="0.2">
      <c r="L505" s="8"/>
    </row>
    <row r="506" spans="12:12" x14ac:dyDescent="0.2">
      <c r="L506" s="8"/>
    </row>
    <row r="507" spans="12:12" x14ac:dyDescent="0.2">
      <c r="L507" s="8"/>
    </row>
    <row r="508" spans="12:12" x14ac:dyDescent="0.2">
      <c r="L508" s="8"/>
    </row>
    <row r="509" spans="12:12" x14ac:dyDescent="0.2">
      <c r="L509" s="8"/>
    </row>
    <row r="510" spans="12:12" x14ac:dyDescent="0.2">
      <c r="L510" s="8"/>
    </row>
    <row r="511" spans="12:12" x14ac:dyDescent="0.2">
      <c r="L511" s="8"/>
    </row>
    <row r="512" spans="12:12" x14ac:dyDescent="0.2">
      <c r="L512" s="8"/>
    </row>
    <row r="513" spans="12:12" x14ac:dyDescent="0.2">
      <c r="L513" s="8"/>
    </row>
    <row r="514" spans="12:12" x14ac:dyDescent="0.2">
      <c r="L514" s="8"/>
    </row>
    <row r="515" spans="12:12" x14ac:dyDescent="0.2">
      <c r="L515" s="8"/>
    </row>
    <row r="516" spans="12:12" x14ac:dyDescent="0.2">
      <c r="L516" s="8"/>
    </row>
    <row r="517" spans="12:12" x14ac:dyDescent="0.2">
      <c r="L517" s="8"/>
    </row>
    <row r="518" spans="12:12" x14ac:dyDescent="0.2">
      <c r="L518" s="8"/>
    </row>
    <row r="519" spans="12:12" x14ac:dyDescent="0.2">
      <c r="L519" s="8"/>
    </row>
    <row r="520" spans="12:12" x14ac:dyDescent="0.2">
      <c r="L520" s="8"/>
    </row>
    <row r="521" spans="12:12" x14ac:dyDescent="0.2">
      <c r="L521" s="8"/>
    </row>
    <row r="522" spans="12:12" x14ac:dyDescent="0.2">
      <c r="L522" s="8"/>
    </row>
    <row r="523" spans="12:12" x14ac:dyDescent="0.2">
      <c r="L523" s="8"/>
    </row>
    <row r="524" spans="12:12" x14ac:dyDescent="0.2">
      <c r="L524" s="8"/>
    </row>
    <row r="525" spans="12:12" x14ac:dyDescent="0.2">
      <c r="L525" s="8"/>
    </row>
    <row r="526" spans="12:12" x14ac:dyDescent="0.2">
      <c r="L526" s="8"/>
    </row>
    <row r="527" spans="12:12" x14ac:dyDescent="0.2">
      <c r="L527" s="8"/>
    </row>
    <row r="528" spans="12:12" x14ac:dyDescent="0.2">
      <c r="L528" s="8"/>
    </row>
    <row r="529" spans="12:12" x14ac:dyDescent="0.2">
      <c r="L529" s="8"/>
    </row>
    <row r="530" spans="12:12" x14ac:dyDescent="0.2">
      <c r="L530" s="8"/>
    </row>
    <row r="531" spans="12:12" x14ac:dyDescent="0.2">
      <c r="L531" s="8"/>
    </row>
    <row r="532" spans="12:12" x14ac:dyDescent="0.2">
      <c r="L532" s="8"/>
    </row>
    <row r="533" spans="12:12" x14ac:dyDescent="0.2">
      <c r="L533" s="8"/>
    </row>
    <row r="534" spans="12:12" x14ac:dyDescent="0.2">
      <c r="L534" s="8"/>
    </row>
    <row r="535" spans="12:12" x14ac:dyDescent="0.2">
      <c r="L535" s="8"/>
    </row>
    <row r="536" spans="12:12" x14ac:dyDescent="0.2">
      <c r="L536" s="8"/>
    </row>
    <row r="537" spans="12:12" x14ac:dyDescent="0.2">
      <c r="L537" s="8"/>
    </row>
    <row r="538" spans="12:12" x14ac:dyDescent="0.2">
      <c r="L538" s="8"/>
    </row>
    <row r="539" spans="12:12" x14ac:dyDescent="0.2">
      <c r="L539" s="8"/>
    </row>
    <row r="540" spans="12:12" x14ac:dyDescent="0.2">
      <c r="L540" s="8"/>
    </row>
    <row r="541" spans="12:12" x14ac:dyDescent="0.2">
      <c r="L541" s="8"/>
    </row>
    <row r="542" spans="12:12" x14ac:dyDescent="0.2">
      <c r="L542" s="8"/>
    </row>
    <row r="543" spans="12:12" x14ac:dyDescent="0.2">
      <c r="L543" s="8"/>
    </row>
    <row r="544" spans="12:12" x14ac:dyDescent="0.2">
      <c r="L544" s="8"/>
    </row>
    <row r="545" spans="12:12" x14ac:dyDescent="0.2">
      <c r="L545" s="8"/>
    </row>
    <row r="546" spans="12:12" x14ac:dyDescent="0.2">
      <c r="L546" s="8"/>
    </row>
    <row r="547" spans="12:12" x14ac:dyDescent="0.2">
      <c r="L547" s="8"/>
    </row>
    <row r="548" spans="12:12" x14ac:dyDescent="0.2">
      <c r="L548" s="8"/>
    </row>
    <row r="549" spans="12:12" x14ac:dyDescent="0.2">
      <c r="L549" s="8"/>
    </row>
    <row r="550" spans="12:12" x14ac:dyDescent="0.2">
      <c r="L550" s="8"/>
    </row>
    <row r="551" spans="12:12" x14ac:dyDescent="0.2">
      <c r="L551" s="8"/>
    </row>
    <row r="552" spans="12:12" x14ac:dyDescent="0.2">
      <c r="L552" s="8"/>
    </row>
    <row r="553" spans="12:12" x14ac:dyDescent="0.2">
      <c r="L553" s="8"/>
    </row>
    <row r="554" spans="12:12" x14ac:dyDescent="0.2">
      <c r="L554" s="8"/>
    </row>
    <row r="555" spans="12:12" x14ac:dyDescent="0.2">
      <c r="L555" s="8"/>
    </row>
    <row r="556" spans="12:12" x14ac:dyDescent="0.2">
      <c r="L556" s="8"/>
    </row>
    <row r="557" spans="12:12" x14ac:dyDescent="0.2">
      <c r="L557" s="8"/>
    </row>
    <row r="558" spans="12:12" x14ac:dyDescent="0.2">
      <c r="L558" s="8"/>
    </row>
    <row r="559" spans="12:12" x14ac:dyDescent="0.2">
      <c r="L559" s="8"/>
    </row>
    <row r="560" spans="12:12" x14ac:dyDescent="0.2">
      <c r="L560" s="8"/>
    </row>
    <row r="561" spans="12:12" x14ac:dyDescent="0.2">
      <c r="L561" s="8"/>
    </row>
    <row r="562" spans="12:12" x14ac:dyDescent="0.2">
      <c r="L562" s="8"/>
    </row>
    <row r="563" spans="12:12" x14ac:dyDescent="0.2">
      <c r="L563" s="8"/>
    </row>
    <row r="564" spans="12:12" x14ac:dyDescent="0.2">
      <c r="L564" s="8"/>
    </row>
    <row r="565" spans="12:12" x14ac:dyDescent="0.2">
      <c r="L565" s="8"/>
    </row>
    <row r="566" spans="12:12" x14ac:dyDescent="0.2">
      <c r="L566" s="8"/>
    </row>
    <row r="567" spans="12:12" x14ac:dyDescent="0.2">
      <c r="L567" s="8"/>
    </row>
    <row r="568" spans="12:12" x14ac:dyDescent="0.2">
      <c r="L568" s="8"/>
    </row>
    <row r="569" spans="12:12" x14ac:dyDescent="0.2">
      <c r="L569" s="8"/>
    </row>
    <row r="570" spans="12:12" x14ac:dyDescent="0.2">
      <c r="L570" s="8"/>
    </row>
    <row r="571" spans="12:12" x14ac:dyDescent="0.2">
      <c r="L571" s="8"/>
    </row>
    <row r="572" spans="12:12" x14ac:dyDescent="0.2">
      <c r="L572" s="8"/>
    </row>
    <row r="573" spans="12:12" x14ac:dyDescent="0.2">
      <c r="L573" s="8"/>
    </row>
    <row r="574" spans="12:12" x14ac:dyDescent="0.2">
      <c r="L574" s="8"/>
    </row>
    <row r="575" spans="12:12" x14ac:dyDescent="0.2">
      <c r="L575" s="8"/>
    </row>
    <row r="576" spans="12:12" x14ac:dyDescent="0.2">
      <c r="L576" s="8"/>
    </row>
    <row r="577" spans="12:12" x14ac:dyDescent="0.2">
      <c r="L577" s="8"/>
    </row>
    <row r="578" spans="12:12" x14ac:dyDescent="0.2">
      <c r="L578" s="8"/>
    </row>
    <row r="579" spans="12:12" x14ac:dyDescent="0.2">
      <c r="L579" s="1"/>
    </row>
    <row r="580" spans="12:12" x14ac:dyDescent="0.2">
      <c r="L580" s="1"/>
    </row>
    <row r="581" spans="12:12" x14ac:dyDescent="0.2">
      <c r="L581" s="1"/>
    </row>
    <row r="582" spans="12:12" x14ac:dyDescent="0.2">
      <c r="L582" s="1"/>
    </row>
    <row r="583" spans="12:12" x14ac:dyDescent="0.2">
      <c r="L583" s="1"/>
    </row>
    <row r="584" spans="12:12" x14ac:dyDescent="0.2">
      <c r="L584" s="1"/>
    </row>
    <row r="585" spans="12:12" x14ac:dyDescent="0.2">
      <c r="L585" s="1"/>
    </row>
    <row r="586" spans="12:12" x14ac:dyDescent="0.2">
      <c r="L586" s="1"/>
    </row>
    <row r="587" spans="12:12" x14ac:dyDescent="0.2">
      <c r="L587" s="1"/>
    </row>
    <row r="588" spans="12:12" x14ac:dyDescent="0.2">
      <c r="L588" s="1"/>
    </row>
    <row r="589" spans="12:12" x14ac:dyDescent="0.2">
      <c r="L589" s="1"/>
    </row>
    <row r="590" spans="12:12" x14ac:dyDescent="0.2">
      <c r="L590" s="1"/>
    </row>
    <row r="591" spans="12:12" x14ac:dyDescent="0.2">
      <c r="L591" s="1"/>
    </row>
    <row r="592" spans="12:12" x14ac:dyDescent="0.2">
      <c r="L592" s="1"/>
    </row>
    <row r="593" spans="12:12" x14ac:dyDescent="0.2">
      <c r="L593" s="1"/>
    </row>
    <row r="594" spans="12:12" x14ac:dyDescent="0.2">
      <c r="L594" s="1"/>
    </row>
    <row r="595" spans="12:12" x14ac:dyDescent="0.2">
      <c r="L595" s="1"/>
    </row>
    <row r="596" spans="12:12" x14ac:dyDescent="0.2">
      <c r="L596" s="1"/>
    </row>
    <row r="597" spans="12:12" x14ac:dyDescent="0.2">
      <c r="L597" s="1"/>
    </row>
    <row r="598" spans="12:12" x14ac:dyDescent="0.2">
      <c r="L598" s="1"/>
    </row>
    <row r="599" spans="12:12" x14ac:dyDescent="0.2">
      <c r="L5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impression</vt:lpstr>
      <vt:lpstr>clicks</vt:lpstr>
      <vt:lpstr>purchase</vt:lpstr>
      <vt:lpstr>org-position</vt:lpstr>
      <vt:lpstr>B0DKG6DBDY</vt:lpstr>
      <vt:lpstr>Sheet9</vt:lpstr>
      <vt:lpstr>Sheet1</vt:lpstr>
      <vt:lpstr>Sheet10</vt:lpstr>
      <vt:lpstr>Sheet8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C, RAHUL</cp:lastModifiedBy>
  <dcterms:created xsi:type="dcterms:W3CDTF">2025-06-27T08:33:05Z</dcterms:created>
  <dcterms:modified xsi:type="dcterms:W3CDTF">2025-07-01T05:01:35Z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2025-07-01T04:02:45Z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808896aa-4124-4731-ae87-0ce910defcea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50, 3, 0, 1</vt:lpwstr>
  </property>
</Properties>
</file>